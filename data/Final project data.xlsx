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b8c2cd6ad6fe7db/"/>
    </mc:Choice>
  </mc:AlternateContent>
  <xr:revisionPtr revIDLastSave="1" documentId="8_{F21A2F93-530C-4786-8A4A-0D6DDB617EB1}" xr6:coauthVersionLast="47" xr6:coauthVersionMax="47" xr10:uidLastSave="{C0C727B3-1348-40ED-B3F3-4B050215A37B}"/>
  <bookViews>
    <workbookView xWindow="-120" yWindow="-120" windowWidth="38640" windowHeight="21120" firstSheet="1" activeTab="3" xr2:uid="{00000000-000D-0000-FFFF-FFFF00000000}"/>
  </bookViews>
  <sheets>
    <sheet name="Monthly Housing Constructions 1" sheetId="1" r:id="rId1"/>
    <sheet name="Nominal Price to Real Price" sheetId="2" r:id="rId2"/>
    <sheet name="Macrohistory" sheetId="3" r:id="rId3"/>
    <sheet name="Median Price of new US Hom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" i="4" l="1"/>
  <c r="D56" i="4"/>
  <c r="D55" i="4"/>
  <c r="D54" i="4"/>
  <c r="D53" i="4"/>
  <c r="D52" i="4"/>
  <c r="C52" i="3" s="1"/>
  <c r="D51" i="4"/>
  <c r="C51" i="3" s="1"/>
  <c r="D50" i="4"/>
  <c r="C50" i="3" s="1"/>
  <c r="D49" i="4"/>
  <c r="C49" i="3" s="1"/>
  <c r="D48" i="4"/>
  <c r="D47" i="4"/>
  <c r="C47" i="3" s="1"/>
  <c r="D46" i="4"/>
  <c r="D45" i="4"/>
  <c r="D44" i="4"/>
  <c r="D43" i="4"/>
  <c r="C43" i="3" s="1"/>
  <c r="D42" i="4"/>
  <c r="D41" i="4"/>
  <c r="D40" i="4"/>
  <c r="C40" i="3" s="1"/>
  <c r="D39" i="4"/>
  <c r="C39" i="3" s="1"/>
  <c r="D38" i="4"/>
  <c r="C38" i="3" s="1"/>
  <c r="D37" i="4"/>
  <c r="C37" i="3" s="1"/>
  <c r="D36" i="4"/>
  <c r="D35" i="4"/>
  <c r="C35" i="3" s="1"/>
  <c r="D34" i="4"/>
  <c r="D33" i="4"/>
  <c r="D32" i="4"/>
  <c r="D31" i="4"/>
  <c r="C31" i="3" s="1"/>
  <c r="D30" i="4"/>
  <c r="D29" i="4"/>
  <c r="D28" i="4"/>
  <c r="C28" i="3" s="1"/>
  <c r="D27" i="4"/>
  <c r="C27" i="3" s="1"/>
  <c r="D26" i="4"/>
  <c r="C26" i="3" s="1"/>
  <c r="D25" i="4"/>
  <c r="C25" i="3" s="1"/>
  <c r="D24" i="4"/>
  <c r="D23" i="4"/>
  <c r="C23" i="3" s="1"/>
  <c r="D22" i="4"/>
  <c r="D21" i="4"/>
  <c r="D20" i="4"/>
  <c r="D19" i="4"/>
  <c r="C19" i="3" s="1"/>
  <c r="D18" i="4"/>
  <c r="D17" i="4"/>
  <c r="D16" i="4"/>
  <c r="C16" i="3" s="1"/>
  <c r="D15" i="4"/>
  <c r="C15" i="3" s="1"/>
  <c r="D14" i="4"/>
  <c r="C14" i="3" s="1"/>
  <c r="D13" i="4"/>
  <c r="C13" i="3" s="1"/>
  <c r="D12" i="4"/>
  <c r="D11" i="4"/>
  <c r="C11" i="3" s="1"/>
  <c r="D10" i="4"/>
  <c r="D9" i="4"/>
  <c r="D8" i="4"/>
  <c r="D7" i="4"/>
  <c r="C7" i="3" s="1"/>
  <c r="D6" i="4"/>
  <c r="D5" i="4"/>
  <c r="D4" i="4"/>
  <c r="C4" i="3" s="1"/>
  <c r="D3" i="4"/>
  <c r="C3" i="3" s="1"/>
  <c r="D2" i="4"/>
  <c r="C2" i="3" s="1"/>
  <c r="C54" i="3"/>
  <c r="C53" i="3"/>
  <c r="C48" i="3"/>
  <c r="C46" i="3"/>
  <c r="C45" i="3"/>
  <c r="C44" i="3"/>
  <c r="C42" i="3"/>
  <c r="C41" i="3"/>
  <c r="C36" i="3"/>
  <c r="C34" i="3"/>
  <c r="C33" i="3"/>
  <c r="C32" i="3"/>
  <c r="C30" i="3"/>
  <c r="C29" i="3"/>
  <c r="C24" i="3"/>
  <c r="C22" i="3"/>
  <c r="C21" i="3"/>
  <c r="C20" i="3"/>
  <c r="C18" i="3"/>
  <c r="C17" i="3"/>
  <c r="C12" i="3"/>
  <c r="C10" i="3"/>
  <c r="C9" i="3"/>
  <c r="C8" i="3"/>
  <c r="C6" i="3"/>
  <c r="C5" i="3"/>
  <c r="D54" i="2"/>
  <c r="E54" i="2" s="1"/>
  <c r="C54" i="2"/>
  <c r="D53" i="2"/>
  <c r="E53" i="2" s="1"/>
  <c r="C53" i="2"/>
  <c r="E52" i="2"/>
  <c r="D52" i="2"/>
  <c r="C52" i="2"/>
  <c r="E51" i="2"/>
  <c r="D51" i="2"/>
  <c r="C51" i="2"/>
  <c r="D50" i="2"/>
  <c r="E50" i="2" s="1"/>
  <c r="C50" i="2"/>
  <c r="D49" i="2"/>
  <c r="E49" i="2" s="1"/>
  <c r="C49" i="2"/>
  <c r="E48" i="2"/>
  <c r="D48" i="2"/>
  <c r="C48" i="2"/>
  <c r="E47" i="2"/>
  <c r="D47" i="2"/>
  <c r="C47" i="2"/>
  <c r="D46" i="2"/>
  <c r="E46" i="2" s="1"/>
  <c r="C46" i="2"/>
  <c r="D45" i="2"/>
  <c r="E45" i="2" s="1"/>
  <c r="C45" i="2"/>
  <c r="E44" i="2"/>
  <c r="D44" i="2"/>
  <c r="C44" i="2"/>
  <c r="E43" i="2"/>
  <c r="D43" i="2"/>
  <c r="C43" i="2"/>
  <c r="D42" i="2"/>
  <c r="E42" i="2" s="1"/>
  <c r="C42" i="2"/>
  <c r="D41" i="2"/>
  <c r="E41" i="2" s="1"/>
  <c r="C41" i="2"/>
  <c r="E40" i="2"/>
  <c r="D40" i="2"/>
  <c r="C40" i="2"/>
  <c r="E39" i="2"/>
  <c r="D39" i="2"/>
  <c r="C39" i="2"/>
  <c r="D38" i="2"/>
  <c r="E38" i="2" s="1"/>
  <c r="C38" i="2"/>
  <c r="D37" i="2"/>
  <c r="E37" i="2" s="1"/>
  <c r="C37" i="2"/>
  <c r="E36" i="2"/>
  <c r="D36" i="2"/>
  <c r="C36" i="2"/>
  <c r="E35" i="2"/>
  <c r="D35" i="2"/>
  <c r="C35" i="2"/>
  <c r="D34" i="2"/>
  <c r="E34" i="2" s="1"/>
  <c r="C34" i="2"/>
  <c r="D33" i="2"/>
  <c r="E33" i="2" s="1"/>
  <c r="C33" i="2"/>
  <c r="E32" i="2"/>
  <c r="D32" i="2"/>
  <c r="C32" i="2"/>
  <c r="E31" i="2"/>
  <c r="D31" i="2"/>
  <c r="C31" i="2"/>
  <c r="D30" i="2"/>
  <c r="E30" i="2" s="1"/>
  <c r="C30" i="2"/>
  <c r="D29" i="2"/>
  <c r="E29" i="2" s="1"/>
  <c r="C29" i="2"/>
  <c r="E28" i="2"/>
  <c r="D28" i="2"/>
  <c r="C28" i="2"/>
  <c r="E27" i="2"/>
  <c r="D27" i="2"/>
  <c r="C27" i="2"/>
  <c r="D26" i="2"/>
  <c r="E26" i="2" s="1"/>
  <c r="C26" i="2"/>
  <c r="D25" i="2"/>
  <c r="E25" i="2" s="1"/>
  <c r="C25" i="2"/>
  <c r="E24" i="2"/>
  <c r="D24" i="2"/>
  <c r="C24" i="2"/>
  <c r="E23" i="2"/>
  <c r="D23" i="2"/>
  <c r="C23" i="2"/>
  <c r="D22" i="2"/>
  <c r="E22" i="2" s="1"/>
  <c r="C22" i="2"/>
  <c r="D21" i="2"/>
  <c r="E21" i="2" s="1"/>
  <c r="C21" i="2"/>
  <c r="E20" i="2"/>
  <c r="D20" i="2"/>
  <c r="C20" i="2"/>
  <c r="E19" i="2"/>
  <c r="D19" i="2"/>
  <c r="C19" i="2"/>
  <c r="D18" i="2"/>
  <c r="E18" i="2" s="1"/>
  <c r="C18" i="2"/>
  <c r="D17" i="2"/>
  <c r="E17" i="2" s="1"/>
  <c r="C17" i="2"/>
  <c r="E16" i="2"/>
  <c r="D16" i="2"/>
  <c r="C16" i="2"/>
  <c r="E15" i="2"/>
  <c r="D15" i="2"/>
  <c r="C15" i="2"/>
  <c r="D14" i="2"/>
  <c r="E14" i="2" s="1"/>
  <c r="C14" i="2"/>
  <c r="D13" i="2"/>
  <c r="E13" i="2" s="1"/>
  <c r="C13" i="2"/>
  <c r="E12" i="2"/>
  <c r="D12" i="2"/>
  <c r="C12" i="2"/>
  <c r="E11" i="2"/>
  <c r="D11" i="2"/>
  <c r="C11" i="2"/>
  <c r="D10" i="2"/>
  <c r="E10" i="2" s="1"/>
  <c r="C10" i="2"/>
  <c r="D9" i="2"/>
  <c r="E9" i="2" s="1"/>
  <c r="C9" i="2"/>
  <c r="E8" i="2"/>
  <c r="D8" i="2"/>
  <c r="C8" i="2"/>
  <c r="E7" i="2"/>
  <c r="D7" i="2"/>
  <c r="C7" i="2"/>
  <c r="D6" i="2"/>
  <c r="E6" i="2" s="1"/>
  <c r="C6" i="2"/>
  <c r="D5" i="2"/>
  <c r="E5" i="2" s="1"/>
  <c r="C5" i="2"/>
  <c r="E4" i="2"/>
  <c r="D4" i="2"/>
  <c r="C4" i="2"/>
  <c r="E3" i="2"/>
  <c r="D3" i="2"/>
  <c r="C3" i="2"/>
  <c r="D2" i="2"/>
  <c r="E2" i="2" s="1"/>
  <c r="E714" i="1"/>
  <c r="D714" i="1"/>
  <c r="E701" i="1"/>
  <c r="D701" i="1"/>
  <c r="E689" i="1"/>
  <c r="D689" i="1"/>
  <c r="E675" i="1"/>
  <c r="D675" i="1"/>
  <c r="E662" i="1"/>
  <c r="D662" i="1"/>
  <c r="E649" i="1"/>
  <c r="D649" i="1"/>
  <c r="E636" i="1"/>
  <c r="D636" i="1"/>
  <c r="E623" i="1"/>
  <c r="D623" i="1"/>
  <c r="E610" i="1"/>
  <c r="D610" i="1"/>
  <c r="E596" i="1"/>
  <c r="D596" i="1"/>
  <c r="E583" i="1"/>
  <c r="D583" i="1"/>
  <c r="E570" i="1"/>
  <c r="D570" i="1"/>
  <c r="E557" i="1"/>
  <c r="D557" i="1"/>
  <c r="E544" i="1"/>
  <c r="D544" i="1"/>
  <c r="E531" i="1"/>
  <c r="D531" i="1"/>
  <c r="E518" i="1"/>
  <c r="D518" i="1"/>
  <c r="E505" i="1"/>
  <c r="D505" i="1"/>
  <c r="E492" i="1"/>
  <c r="D492" i="1"/>
  <c r="E479" i="1"/>
  <c r="D479" i="1"/>
  <c r="E466" i="1"/>
  <c r="D466" i="1"/>
  <c r="E454" i="1"/>
  <c r="D454" i="1"/>
  <c r="E440" i="1"/>
  <c r="D440" i="1"/>
  <c r="E427" i="1"/>
  <c r="D427" i="1"/>
  <c r="E414" i="1"/>
  <c r="D414" i="1"/>
  <c r="E401" i="1"/>
  <c r="D401" i="1"/>
  <c r="E388" i="1"/>
  <c r="D388" i="1"/>
  <c r="E375" i="1"/>
  <c r="D375" i="1"/>
  <c r="E362" i="1"/>
  <c r="D362" i="1"/>
  <c r="E349" i="1"/>
  <c r="D349" i="1"/>
  <c r="E336" i="1"/>
  <c r="D336" i="1"/>
  <c r="E323" i="1"/>
  <c r="D323" i="1"/>
  <c r="E310" i="1"/>
  <c r="D310" i="1"/>
  <c r="E297" i="1"/>
  <c r="D297" i="1"/>
  <c r="E284" i="1"/>
  <c r="D284" i="1"/>
  <c r="E271" i="1"/>
  <c r="D271" i="1"/>
  <c r="E258" i="1"/>
  <c r="D258" i="1"/>
  <c r="E245" i="1"/>
  <c r="D245" i="1"/>
  <c r="E232" i="1"/>
  <c r="D232" i="1"/>
  <c r="E219" i="1"/>
  <c r="D219" i="1"/>
  <c r="E206" i="1"/>
  <c r="D206" i="1"/>
  <c r="E193" i="1"/>
  <c r="D193" i="1"/>
  <c r="E180" i="1"/>
  <c r="D180" i="1"/>
  <c r="E167" i="1"/>
  <c r="D167" i="1"/>
  <c r="E154" i="1"/>
  <c r="D154" i="1"/>
  <c r="E141" i="1"/>
  <c r="D141" i="1"/>
  <c r="E128" i="1"/>
  <c r="D128" i="1"/>
  <c r="E115" i="1"/>
  <c r="D115" i="1"/>
  <c r="E102" i="1"/>
  <c r="D102" i="1"/>
  <c r="E89" i="1"/>
  <c r="D89" i="1"/>
  <c r="E76" i="1"/>
  <c r="D76" i="1"/>
  <c r="E63" i="1"/>
  <c r="D63" i="1"/>
  <c r="E50" i="1"/>
  <c r="D50" i="1"/>
  <c r="E37" i="1"/>
  <c r="D37" i="1"/>
  <c r="E24" i="1"/>
  <c r="D24" i="1"/>
  <c r="E11" i="1"/>
  <c r="D11" i="1"/>
  <c r="E2" i="1"/>
  <c r="D2" i="1"/>
</calcChain>
</file>

<file path=xl/sharedStrings.xml><?xml version="1.0" encoding="utf-8"?>
<sst xmlns="http://schemas.openxmlformats.org/spreadsheetml/2006/main" count="897" uniqueCount="86">
  <si>
    <t>Average</t>
  </si>
  <si>
    <t>Median</t>
  </si>
  <si>
    <t>August</t>
  </si>
  <si>
    <t>July</t>
  </si>
  <si>
    <t>June</t>
  </si>
  <si>
    <t>May</t>
  </si>
  <si>
    <t>April</t>
  </si>
  <si>
    <t>March</t>
  </si>
  <si>
    <t>Feb</t>
  </si>
  <si>
    <t>Jan</t>
  </si>
  <si>
    <t>December</t>
  </si>
  <si>
    <t>Nov</t>
  </si>
  <si>
    <t>Oct</t>
  </si>
  <si>
    <t>Sept</t>
  </si>
  <si>
    <t>Aug</t>
  </si>
  <si>
    <t>feb</t>
  </si>
  <si>
    <t>Year</t>
  </si>
  <si>
    <t>Nominal CPI</t>
  </si>
  <si>
    <t>annual inflation rate</t>
  </si>
  <si>
    <t>Nominal HP</t>
  </si>
  <si>
    <t>Real HP</t>
  </si>
  <si>
    <t>year</t>
  </si>
  <si>
    <t>medprice</t>
  </si>
  <si>
    <t>country</t>
  </si>
  <si>
    <t>pop</t>
  </si>
  <si>
    <t>hpnom</t>
  </si>
  <si>
    <t>rgdpmad</t>
  </si>
  <si>
    <t>rgdpbarro</t>
  </si>
  <si>
    <t>rconsbarro</t>
  </si>
  <si>
    <t>gdp</t>
  </si>
  <si>
    <t>iy</t>
  </si>
  <si>
    <t>cpi</t>
  </si>
  <si>
    <t>ca</t>
  </si>
  <si>
    <t>imports</t>
  </si>
  <si>
    <t>exports</t>
  </si>
  <si>
    <t>narrowm</t>
  </si>
  <si>
    <t>money</t>
  </si>
  <si>
    <t>stir</t>
  </si>
  <si>
    <t>ltrate</t>
  </si>
  <si>
    <t>unemp</t>
  </si>
  <si>
    <t>wage</t>
  </si>
  <si>
    <t>debtgdp</t>
  </si>
  <si>
    <t>revenue</t>
  </si>
  <si>
    <t>expenditure</t>
  </si>
  <si>
    <t>xrusd</t>
  </si>
  <si>
    <t>tloans</t>
  </si>
  <si>
    <t>tmort</t>
  </si>
  <si>
    <t>thh</t>
  </si>
  <si>
    <t>tbus</t>
  </si>
  <si>
    <t>bdebt</t>
  </si>
  <si>
    <t>lev</t>
  </si>
  <si>
    <t>ltd</t>
  </si>
  <si>
    <t>noncore</t>
  </si>
  <si>
    <t>crisisJST</t>
  </si>
  <si>
    <t>crisisJST_old</t>
  </si>
  <si>
    <t>peg</t>
  </si>
  <si>
    <t>peg_strict</t>
  </si>
  <si>
    <t>peg_type</t>
  </si>
  <si>
    <t>peg_base</t>
  </si>
  <si>
    <t>JSTtrilemmaIV</t>
  </si>
  <si>
    <t>eq_tr</t>
  </si>
  <si>
    <t>housing_tr</t>
  </si>
  <si>
    <t>bond_tr</t>
  </si>
  <si>
    <t>bill_rate</t>
  </si>
  <si>
    <t>rent_ipolated</t>
  </si>
  <si>
    <t>housing_capgain_ipolated</t>
  </si>
  <si>
    <t>housing_capgain</t>
  </si>
  <si>
    <t>housing_rent_rtn</t>
  </si>
  <si>
    <t>housing_rent_yd</t>
  </si>
  <si>
    <t>eq_capgain</t>
  </si>
  <si>
    <t>eq_dp</t>
  </si>
  <si>
    <t>eq_capgain_interp</t>
  </si>
  <si>
    <t>eq_tr_interp</t>
  </si>
  <si>
    <t>eq_dp_interp</t>
  </si>
  <si>
    <t>bond_rate</t>
  </si>
  <si>
    <t>eq_div_rtn</t>
  </si>
  <si>
    <t>capital_tr</t>
  </si>
  <si>
    <t>risky_tr</t>
  </si>
  <si>
    <t>safe_tr</t>
  </si>
  <si>
    <t>USA</t>
  </si>
  <si>
    <t>BASE</t>
  </si>
  <si>
    <t>NA</t>
  </si>
  <si>
    <t>observation_date</t>
  </si>
  <si>
    <t>MSPUS</t>
  </si>
  <si>
    <t>yearly avg</t>
  </si>
  <si>
    <t>avg_new_housing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</si>
</sst>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2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2" fontId="4" fillId="0" borderId="0" xfId="0" applyNumberFormat="1" applyFont="1"/>
    <xf numFmtId="1" fontId="4" fillId="0" borderId="0" xfId="0" applyNumberFormat="1" applyFont="1" applyAlignment="1">
      <alignment horizontal="right"/>
    </xf>
    <xf numFmtId="11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8"/>
  <sheetViews>
    <sheetView topLeftCell="A11" workbookViewId="0"/>
  </sheetViews>
  <sheetFormatPr defaultColWidth="12.7109375" defaultRowHeight="15.75" customHeight="1" x14ac:dyDescent="0.2"/>
  <sheetData>
    <row r="1" spans="1:5" ht="15.75" customHeight="1" x14ac:dyDescent="0.2">
      <c r="A1" s="1"/>
      <c r="D1" s="2" t="s">
        <v>0</v>
      </c>
      <c r="E1" s="3" t="s">
        <v>1</v>
      </c>
    </row>
    <row r="2" spans="1:5" ht="15.75" customHeight="1" x14ac:dyDescent="0.2">
      <c r="A2" s="1">
        <v>2023</v>
      </c>
      <c r="D2" s="2">
        <f>AVERAGE(C3:C10)</f>
        <v>120.00000000000001</v>
      </c>
      <c r="E2" s="3">
        <f>MEDIAN(C3:C10)</f>
        <v>117.95</v>
      </c>
    </row>
    <row r="3" spans="1:5" ht="15.75" customHeight="1" x14ac:dyDescent="0.2">
      <c r="B3" s="3" t="s">
        <v>2</v>
      </c>
      <c r="C3" s="3">
        <v>114.2</v>
      </c>
      <c r="D3" s="2"/>
    </row>
    <row r="4" spans="1:5" ht="15.75" customHeight="1" x14ac:dyDescent="0.2">
      <c r="B4" s="3" t="s">
        <v>3</v>
      </c>
      <c r="C4" s="3">
        <v>130.6</v>
      </c>
      <c r="D4" s="2"/>
    </row>
    <row r="5" spans="1:5" ht="15.75" customHeight="1" x14ac:dyDescent="0.2">
      <c r="B5" s="3" t="s">
        <v>4</v>
      </c>
      <c r="C5" s="3">
        <v>132.6</v>
      </c>
      <c r="D5" s="2"/>
    </row>
    <row r="6" spans="1:5" ht="15.75" customHeight="1" x14ac:dyDescent="0.2">
      <c r="B6" s="3" t="s">
        <v>5</v>
      </c>
      <c r="C6" s="3">
        <v>146</v>
      </c>
      <c r="D6" s="2"/>
    </row>
    <row r="7" spans="1:5" ht="15.75" customHeight="1" x14ac:dyDescent="0.2">
      <c r="B7" s="3" t="s">
        <v>6</v>
      </c>
      <c r="C7" s="3">
        <v>121.7</v>
      </c>
      <c r="D7" s="2"/>
    </row>
    <row r="8" spans="1:5" ht="15.75" customHeight="1" x14ac:dyDescent="0.2">
      <c r="B8" s="3" t="s">
        <v>7</v>
      </c>
      <c r="C8" s="3">
        <v>114</v>
      </c>
      <c r="D8" s="2"/>
    </row>
    <row r="9" spans="1:5" ht="15.75" customHeight="1" x14ac:dyDescent="0.2">
      <c r="B9" s="3" t="s">
        <v>8</v>
      </c>
      <c r="C9" s="3">
        <v>103.2</v>
      </c>
      <c r="D9" s="2"/>
    </row>
    <row r="10" spans="1:5" ht="15.75" customHeight="1" x14ac:dyDescent="0.2">
      <c r="B10" s="3" t="s">
        <v>9</v>
      </c>
      <c r="C10" s="3">
        <v>97.7</v>
      </c>
      <c r="D10" s="2"/>
    </row>
    <row r="11" spans="1:5" ht="15.75" customHeight="1" x14ac:dyDescent="0.2">
      <c r="A11" s="1">
        <v>2022</v>
      </c>
      <c r="D11" s="2">
        <f>AVERAGE(C12:C23)</f>
        <v>129.38333333333333</v>
      </c>
      <c r="E11" s="3">
        <f>MEDIAN(C12:C23)</f>
        <v>126.8</v>
      </c>
    </row>
    <row r="12" spans="1:5" ht="15.75" customHeight="1" x14ac:dyDescent="0.2">
      <c r="B12" s="3" t="s">
        <v>10</v>
      </c>
      <c r="C12" s="3">
        <v>94.7</v>
      </c>
      <c r="D12" s="2"/>
    </row>
    <row r="13" spans="1:5" ht="15.75" customHeight="1" x14ac:dyDescent="0.2">
      <c r="B13" s="3" t="s">
        <v>11</v>
      </c>
      <c r="C13" s="3">
        <v>111.1</v>
      </c>
      <c r="D13" s="2"/>
    </row>
    <row r="14" spans="1:5" ht="15.75" customHeight="1" x14ac:dyDescent="0.2">
      <c r="B14" s="3" t="s">
        <v>12</v>
      </c>
      <c r="C14" s="3">
        <v>121.6</v>
      </c>
      <c r="D14" s="2"/>
    </row>
    <row r="15" spans="1:5" ht="15.75" customHeight="1" x14ac:dyDescent="0.2">
      <c r="B15" s="3" t="s">
        <v>13</v>
      </c>
      <c r="C15" s="3">
        <v>127.5</v>
      </c>
      <c r="D15" s="2"/>
    </row>
    <row r="16" spans="1:5" ht="15.75" customHeight="1" x14ac:dyDescent="0.2">
      <c r="B16" s="3" t="s">
        <v>14</v>
      </c>
      <c r="C16" s="3">
        <v>134.5</v>
      </c>
      <c r="D16" s="2"/>
    </row>
    <row r="17" spans="1:5" ht="15.75" customHeight="1" x14ac:dyDescent="0.2">
      <c r="B17" s="3" t="s">
        <v>3</v>
      </c>
      <c r="C17" s="3">
        <v>123.7</v>
      </c>
      <c r="D17" s="2"/>
    </row>
    <row r="18" spans="1:5" ht="15.75" customHeight="1" x14ac:dyDescent="0.2">
      <c r="B18" s="3" t="s">
        <v>4</v>
      </c>
      <c r="C18" s="3">
        <v>144.9</v>
      </c>
      <c r="D18" s="2"/>
    </row>
    <row r="19" spans="1:5" ht="15.75" customHeight="1" x14ac:dyDescent="0.2">
      <c r="B19" s="3" t="s">
        <v>5</v>
      </c>
      <c r="C19" s="3">
        <v>140.6</v>
      </c>
      <c r="D19" s="2"/>
    </row>
    <row r="20" spans="1:5" ht="15.75" customHeight="1" x14ac:dyDescent="0.2">
      <c r="B20" s="3" t="s">
        <v>6</v>
      </c>
      <c r="C20" s="3">
        <v>164.3</v>
      </c>
      <c r="D20" s="2"/>
    </row>
    <row r="21" spans="1:5" ht="15.75" customHeight="1" x14ac:dyDescent="0.2">
      <c r="B21" s="3" t="s">
        <v>7</v>
      </c>
      <c r="C21" s="3">
        <v>142.6</v>
      </c>
      <c r="D21" s="2"/>
    </row>
    <row r="22" spans="1:5" ht="15.75" customHeight="1" x14ac:dyDescent="0.2">
      <c r="B22" s="3" t="s">
        <v>15</v>
      </c>
      <c r="C22" s="3">
        <v>126.1</v>
      </c>
      <c r="D22" s="2"/>
    </row>
    <row r="23" spans="1:5" ht="15.75" customHeight="1" x14ac:dyDescent="0.2">
      <c r="B23" s="3" t="s">
        <v>9</v>
      </c>
      <c r="C23" s="3">
        <v>121</v>
      </c>
      <c r="D23" s="2"/>
    </row>
    <row r="24" spans="1:5" ht="15.75" customHeight="1" x14ac:dyDescent="0.2">
      <c r="A24" s="1">
        <v>2021</v>
      </c>
      <c r="D24" s="2">
        <f>AVERAGE(C25:C36)</f>
        <v>133.42499999999998</v>
      </c>
      <c r="E24" s="3">
        <f>MEDIAN(C25:C36)</f>
        <v>135.35</v>
      </c>
    </row>
    <row r="25" spans="1:5" ht="15.75" customHeight="1" x14ac:dyDescent="0.2">
      <c r="B25" s="3" t="s">
        <v>10</v>
      </c>
      <c r="C25" s="3">
        <v>124.2</v>
      </c>
      <c r="D25" s="2"/>
    </row>
    <row r="26" spans="1:5" ht="15.75" customHeight="1" x14ac:dyDescent="0.2">
      <c r="B26" s="3" t="s">
        <v>11</v>
      </c>
      <c r="C26" s="3">
        <v>130.80000000000001</v>
      </c>
      <c r="D26" s="2"/>
    </row>
    <row r="27" spans="1:5" ht="15.75" customHeight="1" x14ac:dyDescent="0.2">
      <c r="B27" s="3" t="s">
        <v>12</v>
      </c>
      <c r="C27" s="3">
        <v>133.6</v>
      </c>
      <c r="D27" s="2"/>
    </row>
    <row r="28" spans="1:5" ht="15.75" customHeight="1" x14ac:dyDescent="0.2">
      <c r="B28" s="3" t="s">
        <v>13</v>
      </c>
      <c r="C28" s="3">
        <v>135.19999999999999</v>
      </c>
      <c r="D28" s="2"/>
    </row>
    <row r="29" spans="1:5" ht="15.75" customHeight="1" x14ac:dyDescent="0.2">
      <c r="B29" s="3" t="s">
        <v>14</v>
      </c>
      <c r="C29" s="3">
        <v>140</v>
      </c>
      <c r="D29" s="2"/>
    </row>
    <row r="30" spans="1:5" ht="15.75" customHeight="1" x14ac:dyDescent="0.2">
      <c r="B30" s="3" t="s">
        <v>3</v>
      </c>
      <c r="C30" s="3">
        <v>143.9</v>
      </c>
      <c r="D30" s="2"/>
    </row>
    <row r="31" spans="1:5" ht="15.75" customHeight="1" x14ac:dyDescent="0.2">
      <c r="B31" s="3" t="s">
        <v>4</v>
      </c>
      <c r="C31" s="3">
        <v>154.30000000000001</v>
      </c>
      <c r="D31" s="2"/>
    </row>
    <row r="32" spans="1:5" ht="15.75" customHeight="1" x14ac:dyDescent="0.2">
      <c r="B32" s="3" t="s">
        <v>5</v>
      </c>
      <c r="C32" s="3">
        <v>145.69999999999999</v>
      </c>
      <c r="D32" s="2"/>
    </row>
    <row r="33" spans="1:5" ht="15.75" customHeight="1" x14ac:dyDescent="0.2">
      <c r="B33" s="3" t="s">
        <v>6</v>
      </c>
      <c r="C33" s="3">
        <v>135.5</v>
      </c>
      <c r="D33" s="2"/>
    </row>
    <row r="34" spans="1:5" ht="15.75" customHeight="1" x14ac:dyDescent="0.2">
      <c r="B34" s="3" t="s">
        <v>7</v>
      </c>
      <c r="C34" s="3">
        <v>140.6</v>
      </c>
      <c r="D34" s="2"/>
    </row>
    <row r="35" spans="1:5" ht="15.75" customHeight="1" x14ac:dyDescent="0.2">
      <c r="B35" s="3" t="s">
        <v>15</v>
      </c>
      <c r="C35" s="3">
        <v>102.1</v>
      </c>
      <c r="D35" s="2"/>
    </row>
    <row r="36" spans="1:5" ht="15.75" customHeight="1" x14ac:dyDescent="0.2">
      <c r="B36" s="3" t="s">
        <v>9</v>
      </c>
      <c r="C36" s="3">
        <v>115.2</v>
      </c>
      <c r="D36" s="2"/>
    </row>
    <row r="37" spans="1:5" ht="15.75" customHeight="1" x14ac:dyDescent="0.2">
      <c r="A37" s="1">
        <v>2020</v>
      </c>
      <c r="D37" s="2">
        <f>AVERAGE(C38:C49)</f>
        <v>114.96666666666664</v>
      </c>
      <c r="E37" s="3">
        <f>MEDIAN(C38:C49)</f>
        <v>116.44999999999999</v>
      </c>
    </row>
    <row r="38" spans="1:5" ht="15.75" customHeight="1" x14ac:dyDescent="0.2">
      <c r="B38" s="3" t="s">
        <v>10</v>
      </c>
      <c r="C38" s="3">
        <v>115.1</v>
      </c>
      <c r="D38" s="2"/>
    </row>
    <row r="39" spans="1:5" ht="15.75" customHeight="1" x14ac:dyDescent="0.2">
      <c r="B39" s="3" t="s">
        <v>11</v>
      </c>
      <c r="C39" s="3">
        <v>117.8</v>
      </c>
      <c r="D39" s="2"/>
    </row>
    <row r="40" spans="1:5" ht="15.75" customHeight="1" x14ac:dyDescent="0.2">
      <c r="B40" s="3" t="s">
        <v>12</v>
      </c>
      <c r="C40" s="3">
        <v>131.19999999999999</v>
      </c>
      <c r="D40" s="2"/>
    </row>
    <row r="41" spans="1:5" ht="15.75" customHeight="1" x14ac:dyDescent="0.2">
      <c r="B41" s="3" t="s">
        <v>13</v>
      </c>
      <c r="C41" s="3">
        <v>126.3</v>
      </c>
      <c r="D41" s="2"/>
    </row>
    <row r="42" spans="1:5" ht="15.75" customHeight="1" x14ac:dyDescent="0.2">
      <c r="B42" s="3" t="s">
        <v>14</v>
      </c>
      <c r="C42" s="3">
        <v>122.5</v>
      </c>
      <c r="D42" s="2"/>
    </row>
    <row r="43" spans="1:5" ht="15.75" customHeight="1" x14ac:dyDescent="0.2">
      <c r="B43" s="3" t="s">
        <v>3</v>
      </c>
      <c r="C43" s="3">
        <v>138.69999999999999</v>
      </c>
      <c r="D43" s="2"/>
    </row>
    <row r="44" spans="1:5" ht="15.75" customHeight="1" x14ac:dyDescent="0.2">
      <c r="B44" s="3" t="s">
        <v>4</v>
      </c>
      <c r="C44" s="3">
        <v>118.8</v>
      </c>
      <c r="D44" s="2"/>
    </row>
    <row r="45" spans="1:5" ht="15.75" customHeight="1" x14ac:dyDescent="0.2">
      <c r="B45" s="3" t="s">
        <v>5</v>
      </c>
      <c r="C45" s="3">
        <v>95.1</v>
      </c>
      <c r="D45" s="2"/>
    </row>
    <row r="46" spans="1:5" ht="15.75" customHeight="1" x14ac:dyDescent="0.2">
      <c r="B46" s="3" t="s">
        <v>6</v>
      </c>
      <c r="C46" s="3">
        <v>84.9</v>
      </c>
      <c r="D46" s="2"/>
    </row>
    <row r="47" spans="1:5" ht="15.75" customHeight="1" x14ac:dyDescent="0.2">
      <c r="B47" s="3" t="s">
        <v>7</v>
      </c>
      <c r="C47" s="3">
        <v>104.5</v>
      </c>
      <c r="D47" s="2"/>
    </row>
    <row r="48" spans="1:5" ht="15.75" customHeight="1" x14ac:dyDescent="0.2">
      <c r="B48" s="3" t="s">
        <v>15</v>
      </c>
      <c r="C48" s="3">
        <v>111.6</v>
      </c>
      <c r="D48" s="2"/>
    </row>
    <row r="49" spans="1:5" ht="15.75" customHeight="1" x14ac:dyDescent="0.2">
      <c r="B49" s="3" t="s">
        <v>9</v>
      </c>
      <c r="C49" s="3">
        <v>113.1</v>
      </c>
      <c r="D49" s="2"/>
    </row>
    <row r="50" spans="1:5" ht="15.75" customHeight="1" x14ac:dyDescent="0.2">
      <c r="A50" s="1">
        <v>2019</v>
      </c>
      <c r="D50" s="2">
        <f>AVERAGE(C51:C62)</f>
        <v>107.49166666666667</v>
      </c>
      <c r="E50" s="3">
        <f>MEDIAN(C51:C62)</f>
        <v>113.7</v>
      </c>
    </row>
    <row r="51" spans="1:5" ht="15.75" customHeight="1" x14ac:dyDescent="0.2">
      <c r="B51" s="3" t="s">
        <v>10</v>
      </c>
      <c r="C51" s="3">
        <v>108.3</v>
      </c>
      <c r="D51" s="2"/>
    </row>
    <row r="52" spans="1:5" ht="15.75" customHeight="1" x14ac:dyDescent="0.2">
      <c r="B52" s="3" t="s">
        <v>11</v>
      </c>
      <c r="C52" s="3">
        <v>103.4</v>
      </c>
      <c r="D52" s="2"/>
    </row>
    <row r="53" spans="1:5" ht="15.75" customHeight="1" x14ac:dyDescent="0.2">
      <c r="B53" s="3" t="s">
        <v>12</v>
      </c>
      <c r="C53" s="3">
        <v>114.8</v>
      </c>
      <c r="D53" s="2"/>
    </row>
    <row r="54" spans="1:5" ht="15.75" customHeight="1" x14ac:dyDescent="0.2">
      <c r="B54" s="3" t="s">
        <v>13</v>
      </c>
      <c r="C54" s="3">
        <v>113.2</v>
      </c>
      <c r="D54" s="2"/>
    </row>
    <row r="55" spans="1:5" ht="15.75" customHeight="1" x14ac:dyDescent="0.2">
      <c r="B55" s="3" t="s">
        <v>14</v>
      </c>
      <c r="C55" s="3">
        <v>121</v>
      </c>
      <c r="D55" s="2"/>
    </row>
    <row r="56" spans="1:5" ht="15.75" customHeight="1" x14ac:dyDescent="0.2">
      <c r="B56" s="3" t="s">
        <v>3</v>
      </c>
      <c r="C56" s="3">
        <v>114.2</v>
      </c>
      <c r="D56" s="2"/>
    </row>
    <row r="57" spans="1:5" ht="15.75" customHeight="1" x14ac:dyDescent="0.2">
      <c r="B57" s="3" t="s">
        <v>4</v>
      </c>
      <c r="C57" s="3">
        <v>115.1</v>
      </c>
      <c r="D57" s="2"/>
    </row>
    <row r="58" spans="1:5" ht="15.75" customHeight="1" x14ac:dyDescent="0.2">
      <c r="B58" s="3" t="s">
        <v>5</v>
      </c>
      <c r="C58" s="3">
        <v>118.1</v>
      </c>
      <c r="D58" s="2"/>
    </row>
    <row r="59" spans="1:5" ht="15.75" customHeight="1" x14ac:dyDescent="0.2">
      <c r="B59" s="3" t="s">
        <v>6</v>
      </c>
      <c r="C59" s="3">
        <v>116.6</v>
      </c>
      <c r="D59" s="2"/>
    </row>
    <row r="60" spans="1:5" ht="15.75" customHeight="1" x14ac:dyDescent="0.2">
      <c r="B60" s="3" t="s">
        <v>7</v>
      </c>
      <c r="C60" s="3">
        <v>98.2</v>
      </c>
      <c r="D60" s="2"/>
    </row>
    <row r="61" spans="1:5" ht="15.75" customHeight="1" x14ac:dyDescent="0.2">
      <c r="B61" s="3" t="s">
        <v>15</v>
      </c>
      <c r="C61" s="3">
        <v>80</v>
      </c>
      <c r="D61" s="2"/>
    </row>
    <row r="62" spans="1:5" ht="15.75" customHeight="1" x14ac:dyDescent="0.2">
      <c r="B62" s="3" t="s">
        <v>9</v>
      </c>
      <c r="C62" s="3">
        <v>87</v>
      </c>
      <c r="D62" s="2"/>
    </row>
    <row r="63" spans="1:5" ht="15.75" customHeight="1" x14ac:dyDescent="0.2">
      <c r="A63" s="1">
        <v>2018</v>
      </c>
      <c r="D63" s="2">
        <f>AVERAGE(C64:C75)</f>
        <v>104.16666666666667</v>
      </c>
      <c r="E63" s="3">
        <f>MEDIAN(C64:C75)</f>
        <v>108.45</v>
      </c>
    </row>
    <row r="64" spans="1:5" ht="12.75" x14ac:dyDescent="0.2">
      <c r="B64" s="3" t="s">
        <v>10</v>
      </c>
      <c r="C64" s="3">
        <v>76</v>
      </c>
      <c r="D64" s="2"/>
    </row>
    <row r="65" spans="1:5" ht="12.75" x14ac:dyDescent="0.2">
      <c r="B65" s="3" t="s">
        <v>11</v>
      </c>
      <c r="C65" s="3">
        <v>91.2</v>
      </c>
      <c r="D65" s="2"/>
    </row>
    <row r="66" spans="1:5" ht="12.75" x14ac:dyDescent="0.2">
      <c r="B66" s="3" t="s">
        <v>12</v>
      </c>
      <c r="C66" s="3">
        <v>105.7</v>
      </c>
      <c r="D66" s="2"/>
    </row>
    <row r="67" spans="1:5" ht="12.75" x14ac:dyDescent="0.2">
      <c r="B67" s="3" t="s">
        <v>13</v>
      </c>
      <c r="C67" s="3">
        <v>109.7</v>
      </c>
      <c r="D67" s="2"/>
    </row>
    <row r="68" spans="1:5" ht="12.75" x14ac:dyDescent="0.2">
      <c r="B68" s="3" t="s">
        <v>14</v>
      </c>
      <c r="C68" s="3">
        <v>113.8</v>
      </c>
      <c r="D68" s="2"/>
    </row>
    <row r="69" spans="1:5" ht="12.75" x14ac:dyDescent="0.2">
      <c r="B69" s="3" t="s">
        <v>3</v>
      </c>
      <c r="C69" s="3">
        <v>111.9</v>
      </c>
      <c r="D69" s="2"/>
    </row>
    <row r="70" spans="1:5" ht="12.75" x14ac:dyDescent="0.2">
      <c r="B70" s="3" t="s">
        <v>4</v>
      </c>
      <c r="C70" s="3">
        <v>112</v>
      </c>
      <c r="D70" s="2"/>
    </row>
    <row r="71" spans="1:5" ht="12.75" x14ac:dyDescent="0.2">
      <c r="B71" s="3" t="s">
        <v>5</v>
      </c>
      <c r="C71" s="3">
        <v>123.7</v>
      </c>
      <c r="D71" s="2"/>
    </row>
    <row r="72" spans="1:5" ht="12.75" x14ac:dyDescent="0.2">
      <c r="B72" s="3" t="s">
        <v>6</v>
      </c>
      <c r="C72" s="3">
        <v>117.5</v>
      </c>
      <c r="D72" s="2"/>
    </row>
    <row r="73" spans="1:5" ht="12.75" x14ac:dyDescent="0.2">
      <c r="B73" s="3" t="s">
        <v>7</v>
      </c>
      <c r="C73" s="3">
        <v>107.2</v>
      </c>
      <c r="D73" s="2"/>
    </row>
    <row r="74" spans="1:5" ht="12.75" x14ac:dyDescent="0.2">
      <c r="B74" s="3" t="s">
        <v>15</v>
      </c>
      <c r="C74" s="3">
        <v>89.7</v>
      </c>
      <c r="D74" s="2"/>
    </row>
    <row r="75" spans="1:5" ht="12.75" x14ac:dyDescent="0.2">
      <c r="B75" s="3" t="s">
        <v>9</v>
      </c>
      <c r="C75" s="3">
        <v>91.6</v>
      </c>
      <c r="D75" s="2"/>
    </row>
    <row r="76" spans="1:5" ht="12.75" x14ac:dyDescent="0.2">
      <c r="A76" s="1">
        <v>2017</v>
      </c>
      <c r="D76" s="2">
        <f>AVERAGE(C77:C88)</f>
        <v>100.24166666666666</v>
      </c>
      <c r="E76" s="3">
        <f>MEDIAN(C77:C88)</f>
        <v>103.5</v>
      </c>
    </row>
    <row r="77" spans="1:5" ht="12.75" x14ac:dyDescent="0.2">
      <c r="B77" s="3" t="s">
        <v>10</v>
      </c>
      <c r="C77" s="3">
        <v>81.400000000000006</v>
      </c>
      <c r="D77" s="2"/>
    </row>
    <row r="78" spans="1:5" ht="12.75" x14ac:dyDescent="0.2">
      <c r="B78" s="3" t="s">
        <v>11</v>
      </c>
      <c r="C78" s="3">
        <v>97.9</v>
      </c>
      <c r="D78" s="2"/>
    </row>
    <row r="79" spans="1:5" ht="12.75" x14ac:dyDescent="0.2">
      <c r="B79" s="3" t="s">
        <v>12</v>
      </c>
      <c r="C79" s="3">
        <v>109.6</v>
      </c>
      <c r="D79" s="2"/>
    </row>
    <row r="80" spans="1:5" ht="12.75" x14ac:dyDescent="0.2">
      <c r="B80" s="3" t="s">
        <v>13</v>
      </c>
      <c r="C80" s="3">
        <v>104.4</v>
      </c>
      <c r="D80" s="2"/>
    </row>
    <row r="81" spans="1:5" ht="12.75" x14ac:dyDescent="0.2">
      <c r="B81" s="3" t="s">
        <v>14</v>
      </c>
      <c r="C81" s="3">
        <v>102.6</v>
      </c>
      <c r="D81" s="2"/>
    </row>
    <row r="82" spans="1:5" ht="12.75" x14ac:dyDescent="0.2">
      <c r="B82" s="3" t="s">
        <v>3</v>
      </c>
      <c r="C82" s="3">
        <v>112.3</v>
      </c>
      <c r="D82" s="2"/>
    </row>
    <row r="83" spans="1:5" ht="12.75" x14ac:dyDescent="0.2">
      <c r="B83" s="3" t="s">
        <v>4</v>
      </c>
      <c r="C83" s="3">
        <v>116.3</v>
      </c>
      <c r="D83" s="2"/>
    </row>
    <row r="84" spans="1:5" ht="12.75" x14ac:dyDescent="0.2">
      <c r="B84" s="3" t="s">
        <v>5</v>
      </c>
      <c r="C84" s="3">
        <v>106</v>
      </c>
      <c r="D84" s="2"/>
    </row>
    <row r="85" spans="1:5" ht="12.75" x14ac:dyDescent="0.2">
      <c r="B85" s="3" t="s">
        <v>6</v>
      </c>
      <c r="C85" s="3">
        <v>105.2</v>
      </c>
      <c r="D85" s="2"/>
    </row>
    <row r="86" spans="1:5" ht="12.75" x14ac:dyDescent="0.2">
      <c r="B86" s="3" t="s">
        <v>7</v>
      </c>
      <c r="C86" s="3">
        <v>97.1</v>
      </c>
      <c r="D86" s="2"/>
    </row>
    <row r="87" spans="1:5" ht="12.75" x14ac:dyDescent="0.2">
      <c r="B87" s="3" t="s">
        <v>15</v>
      </c>
      <c r="C87" s="3">
        <v>87.8</v>
      </c>
      <c r="D87" s="2"/>
    </row>
    <row r="88" spans="1:5" ht="12.75" x14ac:dyDescent="0.2">
      <c r="B88" s="3" t="s">
        <v>9</v>
      </c>
      <c r="C88" s="3">
        <v>82.3</v>
      </c>
      <c r="D88" s="2"/>
    </row>
    <row r="89" spans="1:5" ht="12.75" x14ac:dyDescent="0.2">
      <c r="A89" s="1">
        <v>2016</v>
      </c>
      <c r="D89" s="2">
        <f>AVERAGE(C90:C101)</f>
        <v>97.808333333333337</v>
      </c>
      <c r="E89" s="3">
        <f>MEDIAN(C90:C101)</f>
        <v>98.9</v>
      </c>
    </row>
    <row r="90" spans="1:5" ht="12.75" x14ac:dyDescent="0.2">
      <c r="B90" s="3" t="s">
        <v>10</v>
      </c>
      <c r="C90" s="3">
        <v>86.5</v>
      </c>
      <c r="D90" s="2"/>
    </row>
    <row r="91" spans="1:5" ht="12.75" x14ac:dyDescent="0.2">
      <c r="B91" s="3" t="s">
        <v>11</v>
      </c>
      <c r="C91" s="3">
        <v>87.8</v>
      </c>
      <c r="D91" s="2"/>
    </row>
    <row r="92" spans="1:5" ht="12.75" x14ac:dyDescent="0.2">
      <c r="B92" s="3" t="s">
        <v>12</v>
      </c>
      <c r="C92" s="3">
        <v>114.5</v>
      </c>
      <c r="D92" s="2"/>
    </row>
    <row r="93" spans="1:5" ht="12.75" x14ac:dyDescent="0.2">
      <c r="B93" s="3" t="s">
        <v>13</v>
      </c>
      <c r="C93" s="3">
        <v>95</v>
      </c>
      <c r="D93" s="2"/>
    </row>
    <row r="94" spans="1:5" ht="12.75" x14ac:dyDescent="0.2">
      <c r="B94" s="3" t="s">
        <v>14</v>
      </c>
      <c r="C94" s="3">
        <v>102.8</v>
      </c>
      <c r="D94" s="2"/>
    </row>
    <row r="95" spans="1:5" ht="12.75" x14ac:dyDescent="0.2">
      <c r="B95" s="3" t="s">
        <v>3</v>
      </c>
      <c r="C95" s="3">
        <v>115.2</v>
      </c>
      <c r="D95" s="2"/>
    </row>
    <row r="96" spans="1:5" ht="12.75" x14ac:dyDescent="0.2">
      <c r="B96" s="3" t="s">
        <v>4</v>
      </c>
      <c r="C96" s="3">
        <v>111.6</v>
      </c>
      <c r="D96" s="2"/>
    </row>
    <row r="97" spans="1:5" ht="12.75" x14ac:dyDescent="0.2">
      <c r="B97" s="3" t="s">
        <v>5</v>
      </c>
      <c r="C97" s="3">
        <v>105</v>
      </c>
      <c r="D97" s="2"/>
    </row>
    <row r="98" spans="1:5" ht="12.75" x14ac:dyDescent="0.2">
      <c r="B98" s="3" t="s">
        <v>6</v>
      </c>
      <c r="C98" s="3">
        <v>106.2</v>
      </c>
      <c r="D98" s="2"/>
    </row>
    <row r="99" spans="1:5" ht="12.75" x14ac:dyDescent="0.2">
      <c r="B99" s="3" t="s">
        <v>7</v>
      </c>
      <c r="C99" s="3">
        <v>90.7</v>
      </c>
      <c r="D99" s="2"/>
    </row>
    <row r="100" spans="1:5" ht="12.75" x14ac:dyDescent="0.2">
      <c r="B100" s="3" t="s">
        <v>15</v>
      </c>
      <c r="C100" s="3">
        <v>84.1</v>
      </c>
      <c r="D100" s="2"/>
    </row>
    <row r="101" spans="1:5" ht="12.75" x14ac:dyDescent="0.2">
      <c r="B101" s="3" t="s">
        <v>9</v>
      </c>
      <c r="C101" s="3">
        <v>74.3</v>
      </c>
      <c r="D101" s="2"/>
    </row>
    <row r="102" spans="1:5" ht="12.75" x14ac:dyDescent="0.2">
      <c r="A102" s="1">
        <v>2015</v>
      </c>
      <c r="D102" s="2">
        <f>AVERAGE(C103:C114)</f>
        <v>92.658333333333346</v>
      </c>
      <c r="E102" s="3">
        <f>MEDIAN(C103:C114)</f>
        <v>95.050000000000011</v>
      </c>
    </row>
    <row r="103" spans="1:5" ht="12.75" x14ac:dyDescent="0.2">
      <c r="B103" s="3" t="s">
        <v>10</v>
      </c>
      <c r="C103" s="3">
        <v>78.099999999999994</v>
      </c>
      <c r="D103" s="2"/>
    </row>
    <row r="104" spans="1:5" ht="12.75" x14ac:dyDescent="0.2">
      <c r="B104" s="3" t="s">
        <v>11</v>
      </c>
      <c r="C104" s="3">
        <v>89.9</v>
      </c>
      <c r="D104" s="2"/>
    </row>
    <row r="105" spans="1:5" ht="12.75" x14ac:dyDescent="0.2">
      <c r="B105" s="3" t="s">
        <v>12</v>
      </c>
      <c r="C105" s="3">
        <v>90.9</v>
      </c>
      <c r="D105" s="2"/>
    </row>
    <row r="106" spans="1:5" ht="12.75" x14ac:dyDescent="0.2">
      <c r="B106" s="3" t="s">
        <v>13</v>
      </c>
      <c r="C106" s="3">
        <v>111.6</v>
      </c>
      <c r="D106" s="2"/>
    </row>
    <row r="107" spans="1:5" ht="12.75" x14ac:dyDescent="0.2">
      <c r="B107" s="3" t="s">
        <v>14</v>
      </c>
      <c r="C107" s="3">
        <v>99.2</v>
      </c>
      <c r="D107" s="2"/>
    </row>
    <row r="108" spans="1:5" ht="12.75" x14ac:dyDescent="0.2">
      <c r="B108" s="3" t="s">
        <v>3</v>
      </c>
      <c r="C108" s="3">
        <v>107.2</v>
      </c>
      <c r="D108" s="2"/>
    </row>
    <row r="109" spans="1:5" ht="12.75" x14ac:dyDescent="0.2">
      <c r="B109" s="3" t="s">
        <v>4</v>
      </c>
      <c r="C109" s="3">
        <v>112.3</v>
      </c>
      <c r="D109" s="2"/>
    </row>
    <row r="110" spans="1:5" ht="12.75" x14ac:dyDescent="0.2">
      <c r="B110" s="3" t="s">
        <v>5</v>
      </c>
      <c r="C110" s="3">
        <v>99.6</v>
      </c>
      <c r="D110" s="2"/>
    </row>
    <row r="111" spans="1:5" ht="12.75" x14ac:dyDescent="0.2">
      <c r="B111" s="3" t="s">
        <v>6</v>
      </c>
      <c r="C111" s="3">
        <v>108.5</v>
      </c>
      <c r="D111" s="2"/>
    </row>
    <row r="112" spans="1:5" ht="12.75" x14ac:dyDescent="0.2">
      <c r="B112" s="3" t="s">
        <v>7</v>
      </c>
      <c r="C112" s="3">
        <v>79.7</v>
      </c>
      <c r="D112" s="2"/>
    </row>
    <row r="113" spans="1:5" ht="12.75" x14ac:dyDescent="0.2">
      <c r="B113" s="3" t="s">
        <v>15</v>
      </c>
      <c r="C113" s="3">
        <v>61.9</v>
      </c>
      <c r="D113" s="2"/>
    </row>
    <row r="114" spans="1:5" ht="12.75" x14ac:dyDescent="0.2">
      <c r="B114" s="3" t="s">
        <v>9</v>
      </c>
      <c r="C114" s="3">
        <v>73</v>
      </c>
      <c r="D114" s="2"/>
    </row>
    <row r="115" spans="1:5" ht="12.75" x14ac:dyDescent="0.2">
      <c r="A115" s="1">
        <v>2014</v>
      </c>
      <c r="D115" s="2">
        <f>AVERAGE(C116:C127)</f>
        <v>83.774999999999991</v>
      </c>
      <c r="E115" s="3">
        <f>MEDIAN(C116:C127)</f>
        <v>86.75</v>
      </c>
    </row>
    <row r="116" spans="1:5" ht="12.75" x14ac:dyDescent="0.2">
      <c r="B116" s="3" t="s">
        <v>10</v>
      </c>
      <c r="C116" s="3">
        <v>73.400000000000006</v>
      </c>
      <c r="D116" s="2"/>
    </row>
    <row r="117" spans="1:5" ht="12.75" x14ac:dyDescent="0.2">
      <c r="B117" s="3" t="s">
        <v>11</v>
      </c>
      <c r="C117" s="3">
        <v>75.8</v>
      </c>
      <c r="D117" s="2"/>
    </row>
    <row r="118" spans="1:5" ht="12.75" x14ac:dyDescent="0.2">
      <c r="B118" s="3" t="s">
        <v>12</v>
      </c>
      <c r="C118" s="3">
        <v>94</v>
      </c>
      <c r="D118" s="2"/>
    </row>
    <row r="119" spans="1:5" ht="12.75" x14ac:dyDescent="0.2">
      <c r="B119" s="3" t="s">
        <v>13</v>
      </c>
      <c r="C119" s="3">
        <v>94.2</v>
      </c>
      <c r="D119" s="2"/>
    </row>
    <row r="120" spans="1:5" ht="12.75" x14ac:dyDescent="0.2">
      <c r="B120" s="3" t="s">
        <v>14</v>
      </c>
      <c r="C120" s="3">
        <v>86.2</v>
      </c>
      <c r="D120" s="2"/>
    </row>
    <row r="121" spans="1:5" ht="12.75" x14ac:dyDescent="0.2">
      <c r="B121" s="3" t="s">
        <v>3</v>
      </c>
      <c r="C121" s="3">
        <v>101</v>
      </c>
      <c r="D121" s="2"/>
    </row>
    <row r="122" spans="1:5" ht="12.75" x14ac:dyDescent="0.2">
      <c r="B122" s="3" t="s">
        <v>4</v>
      </c>
      <c r="C122" s="3">
        <v>87.3</v>
      </c>
      <c r="D122" s="2"/>
    </row>
    <row r="123" spans="1:5" ht="12.75" x14ac:dyDescent="0.2">
      <c r="B123" s="3" t="s">
        <v>5</v>
      </c>
      <c r="C123" s="3">
        <v>92.5</v>
      </c>
      <c r="D123" s="2"/>
    </row>
    <row r="124" spans="1:5" ht="12.75" x14ac:dyDescent="0.2">
      <c r="B124" s="3" t="s">
        <v>6</v>
      </c>
      <c r="C124" s="3">
        <v>94.9</v>
      </c>
      <c r="D124" s="2"/>
    </row>
    <row r="125" spans="1:5" ht="12.75" x14ac:dyDescent="0.2">
      <c r="B125" s="3" t="s">
        <v>7</v>
      </c>
      <c r="C125" s="3">
        <v>80.2</v>
      </c>
      <c r="D125" s="2"/>
    </row>
    <row r="126" spans="1:5" ht="12.75" x14ac:dyDescent="0.2">
      <c r="B126" s="3" t="s">
        <v>15</v>
      </c>
      <c r="C126" s="3">
        <v>65.099999999999994</v>
      </c>
      <c r="D126" s="2"/>
    </row>
    <row r="127" spans="1:5" ht="12.75" x14ac:dyDescent="0.2">
      <c r="B127" s="3" t="s">
        <v>9</v>
      </c>
      <c r="C127" s="3">
        <v>60.7</v>
      </c>
      <c r="D127" s="2"/>
    </row>
    <row r="128" spans="1:5" ht="12.75" x14ac:dyDescent="0.2">
      <c r="A128" s="1">
        <v>2013</v>
      </c>
      <c r="D128" s="2">
        <f>AVERAGE(C129:C140)</f>
        <v>77.075000000000003</v>
      </c>
      <c r="E128" s="3">
        <f>MEDIAN(C129:C140)</f>
        <v>79.400000000000006</v>
      </c>
    </row>
    <row r="129" spans="1:5" ht="12.75" x14ac:dyDescent="0.2">
      <c r="B129" s="3" t="s">
        <v>10</v>
      </c>
      <c r="C129" s="3">
        <v>67.599999999999994</v>
      </c>
      <c r="D129" s="2"/>
    </row>
    <row r="130" spans="1:5" ht="12.75" x14ac:dyDescent="0.2">
      <c r="B130" s="3" t="s">
        <v>11</v>
      </c>
      <c r="C130" s="3">
        <v>83.8</v>
      </c>
      <c r="D130" s="2"/>
    </row>
    <row r="131" spans="1:5" ht="12.75" x14ac:dyDescent="0.2">
      <c r="B131" s="3" t="s">
        <v>12</v>
      </c>
      <c r="C131" s="3">
        <v>78.400000000000006</v>
      </c>
      <c r="D131" s="2"/>
    </row>
    <row r="132" spans="1:5" ht="12.75" x14ac:dyDescent="0.2">
      <c r="B132" s="3" t="s">
        <v>13</v>
      </c>
      <c r="C132" s="3">
        <v>78.400000000000006</v>
      </c>
      <c r="D132" s="2"/>
    </row>
    <row r="133" spans="1:5" ht="12.75" x14ac:dyDescent="0.2">
      <c r="B133" s="3" t="s">
        <v>14</v>
      </c>
      <c r="C133" s="3">
        <v>80.400000000000006</v>
      </c>
      <c r="D133" s="2"/>
    </row>
    <row r="134" spans="1:5" ht="12.75" x14ac:dyDescent="0.2">
      <c r="B134" s="3" t="s">
        <v>3</v>
      </c>
      <c r="C134" s="3">
        <v>84</v>
      </c>
      <c r="D134" s="2"/>
    </row>
    <row r="135" spans="1:5" ht="12.75" x14ac:dyDescent="0.2">
      <c r="B135" s="3" t="s">
        <v>4</v>
      </c>
      <c r="C135" s="3">
        <v>80.7</v>
      </c>
      <c r="D135" s="2"/>
    </row>
    <row r="136" spans="1:5" ht="12.75" x14ac:dyDescent="0.2">
      <c r="B136" s="3" t="s">
        <v>5</v>
      </c>
      <c r="C136" s="3">
        <v>87.2</v>
      </c>
      <c r="D136" s="2"/>
    </row>
    <row r="137" spans="1:5" ht="12.75" x14ac:dyDescent="0.2">
      <c r="B137" s="3" t="s">
        <v>6</v>
      </c>
      <c r="C137" s="3">
        <v>76.3</v>
      </c>
      <c r="D137" s="2"/>
    </row>
    <row r="138" spans="1:5" ht="12.75" x14ac:dyDescent="0.2">
      <c r="B138" s="3" t="s">
        <v>7</v>
      </c>
      <c r="C138" s="3">
        <v>83.3</v>
      </c>
      <c r="D138" s="2"/>
    </row>
    <row r="139" spans="1:5" ht="12.75" x14ac:dyDescent="0.2">
      <c r="B139" s="3" t="s">
        <v>15</v>
      </c>
      <c r="C139" s="3">
        <v>66.099999999999994</v>
      </c>
      <c r="D139" s="2"/>
    </row>
    <row r="140" spans="1:5" ht="12.75" x14ac:dyDescent="0.2">
      <c r="B140" s="3" t="s">
        <v>9</v>
      </c>
      <c r="C140" s="3">
        <v>58.7</v>
      </c>
      <c r="D140" s="2"/>
    </row>
    <row r="141" spans="1:5" ht="12.75" x14ac:dyDescent="0.2">
      <c r="A141" s="1">
        <v>2012</v>
      </c>
      <c r="D141" s="2">
        <f>AVERAGE(C142:C153)</f>
        <v>65.05</v>
      </c>
      <c r="E141" s="3">
        <f>MEDIAN(C142:C153)</f>
        <v>67.3</v>
      </c>
    </row>
    <row r="142" spans="1:5" ht="12.75" x14ac:dyDescent="0.2">
      <c r="B142" s="3" t="s">
        <v>10</v>
      </c>
      <c r="C142" s="3">
        <v>63.2</v>
      </c>
      <c r="D142" s="2"/>
    </row>
    <row r="143" spans="1:5" ht="12.75" x14ac:dyDescent="0.2">
      <c r="B143" s="3" t="s">
        <v>11</v>
      </c>
      <c r="C143" s="3">
        <v>62.2</v>
      </c>
      <c r="D143" s="2"/>
    </row>
    <row r="144" spans="1:5" ht="12.75" x14ac:dyDescent="0.2">
      <c r="B144" s="3" t="s">
        <v>12</v>
      </c>
      <c r="C144" s="3">
        <v>77</v>
      </c>
      <c r="D144" s="2"/>
    </row>
    <row r="145" spans="1:5" ht="12.75" x14ac:dyDescent="0.2">
      <c r="B145" s="3" t="s">
        <v>13</v>
      </c>
      <c r="C145" s="3">
        <v>75.8</v>
      </c>
      <c r="D145" s="2"/>
    </row>
    <row r="146" spans="1:5" ht="12.75" x14ac:dyDescent="0.2">
      <c r="B146" s="3" t="s">
        <v>14</v>
      </c>
      <c r="C146" s="3">
        <v>69</v>
      </c>
      <c r="D146" s="2"/>
    </row>
    <row r="147" spans="1:5" ht="12.75" x14ac:dyDescent="0.2">
      <c r="B147" s="3" t="s">
        <v>3</v>
      </c>
      <c r="C147" s="3">
        <v>69.2</v>
      </c>
      <c r="D147" s="2"/>
    </row>
    <row r="148" spans="1:5" ht="12.75" x14ac:dyDescent="0.2">
      <c r="B148" s="3" t="s">
        <v>4</v>
      </c>
      <c r="C148" s="3">
        <v>74.7</v>
      </c>
      <c r="D148" s="2"/>
    </row>
    <row r="149" spans="1:5" ht="12.75" x14ac:dyDescent="0.2">
      <c r="B149" s="3" t="s">
        <v>5</v>
      </c>
      <c r="C149" s="3">
        <v>67.8</v>
      </c>
      <c r="D149" s="2"/>
    </row>
    <row r="150" spans="1:5" ht="12.75" x14ac:dyDescent="0.2">
      <c r="B150" s="3" t="s">
        <v>6</v>
      </c>
      <c r="C150" s="3">
        <v>66.8</v>
      </c>
      <c r="D150" s="2"/>
    </row>
    <row r="151" spans="1:5" ht="12.75" x14ac:dyDescent="0.2">
      <c r="B151" s="3" t="s">
        <v>7</v>
      </c>
      <c r="C151" s="3">
        <v>58</v>
      </c>
      <c r="D151" s="2"/>
    </row>
    <row r="152" spans="1:5" ht="12.75" x14ac:dyDescent="0.2">
      <c r="B152" s="3" t="s">
        <v>15</v>
      </c>
      <c r="C152" s="3">
        <v>49.7</v>
      </c>
      <c r="D152" s="2"/>
    </row>
    <row r="153" spans="1:5" ht="12.75" x14ac:dyDescent="0.2">
      <c r="B153" s="3" t="s">
        <v>9</v>
      </c>
      <c r="C153" s="3">
        <v>47.2</v>
      </c>
      <c r="D153" s="2"/>
    </row>
    <row r="154" spans="1:5" ht="12.75" x14ac:dyDescent="0.2">
      <c r="A154" s="1">
        <v>2011</v>
      </c>
      <c r="D154" s="2">
        <f>AVERAGE(C155:C166)</f>
        <v>50.733333333333341</v>
      </c>
      <c r="E154" s="3">
        <f>MEDIAN(C155:C166)</f>
        <v>53.1</v>
      </c>
    </row>
    <row r="155" spans="1:5" ht="12.75" x14ac:dyDescent="0.2">
      <c r="B155" s="3" t="s">
        <v>10</v>
      </c>
      <c r="C155" s="3">
        <v>42.7</v>
      </c>
      <c r="D155" s="2"/>
    </row>
    <row r="156" spans="1:5" ht="12.75" x14ac:dyDescent="0.2">
      <c r="B156" s="3" t="s">
        <v>11</v>
      </c>
      <c r="C156" s="3">
        <v>53</v>
      </c>
      <c r="D156" s="2"/>
    </row>
    <row r="157" spans="1:5" ht="12.75" x14ac:dyDescent="0.2">
      <c r="B157" s="3" t="s">
        <v>12</v>
      </c>
      <c r="C157" s="3">
        <v>53.2</v>
      </c>
      <c r="D157" s="2"/>
    </row>
    <row r="158" spans="1:5" ht="12.75" x14ac:dyDescent="0.2">
      <c r="B158" s="3" t="s">
        <v>13</v>
      </c>
      <c r="C158" s="3">
        <v>58.8</v>
      </c>
      <c r="D158" s="2"/>
    </row>
    <row r="159" spans="1:5" ht="12.75" x14ac:dyDescent="0.2">
      <c r="B159" s="3" t="s">
        <v>14</v>
      </c>
      <c r="C159" s="3">
        <v>54.5</v>
      </c>
      <c r="D159" s="2"/>
    </row>
    <row r="160" spans="1:5" ht="12.75" x14ac:dyDescent="0.2">
      <c r="B160" s="3" t="s">
        <v>3</v>
      </c>
      <c r="C160" s="3">
        <v>57.6</v>
      </c>
      <c r="D160" s="2"/>
    </row>
    <row r="161" spans="1:5" ht="12.75" x14ac:dyDescent="0.2">
      <c r="B161" s="3" t="s">
        <v>4</v>
      </c>
      <c r="C161" s="3">
        <v>60.5</v>
      </c>
      <c r="D161" s="2"/>
    </row>
    <row r="162" spans="1:5" ht="12.75" x14ac:dyDescent="0.2">
      <c r="B162" s="3" t="s">
        <v>5</v>
      </c>
      <c r="C162" s="3">
        <v>54</v>
      </c>
      <c r="D162" s="2"/>
    </row>
    <row r="163" spans="1:5" ht="12.75" x14ac:dyDescent="0.2">
      <c r="B163" s="3" t="s">
        <v>6</v>
      </c>
      <c r="C163" s="3">
        <v>49</v>
      </c>
      <c r="D163" s="2"/>
    </row>
    <row r="164" spans="1:5" ht="12.75" x14ac:dyDescent="0.2">
      <c r="B164" s="3" t="s">
        <v>7</v>
      </c>
      <c r="C164" s="3">
        <v>49.9</v>
      </c>
      <c r="D164" s="2"/>
    </row>
    <row r="165" spans="1:5" ht="12.75" x14ac:dyDescent="0.2">
      <c r="B165" s="3" t="s">
        <v>15</v>
      </c>
      <c r="C165" s="3">
        <v>35.4</v>
      </c>
      <c r="D165" s="2"/>
    </row>
    <row r="166" spans="1:5" ht="12.75" x14ac:dyDescent="0.2">
      <c r="B166" s="3" t="s">
        <v>9</v>
      </c>
      <c r="C166" s="3">
        <v>40.200000000000003</v>
      </c>
      <c r="D166" s="2"/>
    </row>
    <row r="167" spans="1:5" ht="12.75" x14ac:dyDescent="0.2">
      <c r="A167" s="1">
        <v>2010</v>
      </c>
      <c r="D167" s="2">
        <f>AVERAGE(C168:C179)</f>
        <v>48.908333333333331</v>
      </c>
      <c r="E167" s="3">
        <f>MEDIAN(C168:C179)</f>
        <v>52.25</v>
      </c>
    </row>
    <row r="168" spans="1:5" ht="12.75" x14ac:dyDescent="0.2">
      <c r="B168" s="3" t="s">
        <v>10</v>
      </c>
      <c r="C168" s="3">
        <v>33.799999999999997</v>
      </c>
      <c r="D168" s="2"/>
    </row>
    <row r="169" spans="1:5" ht="12.75" x14ac:dyDescent="0.2">
      <c r="B169" s="3" t="s">
        <v>11</v>
      </c>
      <c r="C169" s="3">
        <v>40.6</v>
      </c>
      <c r="D169" s="2"/>
    </row>
    <row r="170" spans="1:5" ht="12.75" x14ac:dyDescent="0.2">
      <c r="B170" s="3" t="s">
        <v>12</v>
      </c>
      <c r="C170" s="3">
        <v>45.4</v>
      </c>
      <c r="D170" s="2"/>
    </row>
    <row r="171" spans="1:5" ht="12.75" x14ac:dyDescent="0.2">
      <c r="B171" s="3" t="s">
        <v>13</v>
      </c>
      <c r="C171" s="3">
        <v>53</v>
      </c>
      <c r="D171" s="2"/>
    </row>
    <row r="172" spans="1:5" ht="12.75" x14ac:dyDescent="0.2">
      <c r="B172" s="3" t="s">
        <v>14</v>
      </c>
      <c r="C172" s="3">
        <v>56.3</v>
      </c>
      <c r="D172" s="2"/>
    </row>
    <row r="173" spans="1:5" ht="12.75" x14ac:dyDescent="0.2">
      <c r="B173" s="3" t="s">
        <v>3</v>
      </c>
      <c r="C173" s="3">
        <v>51.5</v>
      </c>
      <c r="D173" s="2"/>
    </row>
    <row r="174" spans="1:5" ht="12.75" x14ac:dyDescent="0.2">
      <c r="B174" s="3" t="s">
        <v>4</v>
      </c>
      <c r="C174" s="3">
        <v>53.8</v>
      </c>
      <c r="D174" s="2"/>
    </row>
    <row r="175" spans="1:5" ht="12.75" x14ac:dyDescent="0.2">
      <c r="B175" s="3" t="s">
        <v>5</v>
      </c>
      <c r="C175" s="3">
        <v>56.2</v>
      </c>
      <c r="D175" s="2"/>
    </row>
    <row r="176" spans="1:5" ht="12.75" x14ac:dyDescent="0.2">
      <c r="B176" s="3" t="s">
        <v>6</v>
      </c>
      <c r="C176" s="3">
        <v>62</v>
      </c>
      <c r="D176" s="2"/>
    </row>
    <row r="177" spans="1:5" ht="12.75" x14ac:dyDescent="0.2">
      <c r="B177" s="3" t="s">
        <v>7</v>
      </c>
      <c r="C177" s="3">
        <v>54.7</v>
      </c>
      <c r="D177" s="2"/>
    </row>
    <row r="178" spans="1:5" ht="12.75" x14ac:dyDescent="0.2">
      <c r="B178" s="3" t="s">
        <v>15</v>
      </c>
      <c r="C178" s="3">
        <v>40.700000000000003</v>
      </c>
      <c r="D178" s="2"/>
    </row>
    <row r="179" spans="1:5" ht="12.75" x14ac:dyDescent="0.2">
      <c r="B179" s="3" t="s">
        <v>9</v>
      </c>
      <c r="C179" s="3">
        <v>38.9</v>
      </c>
      <c r="D179" s="2"/>
    </row>
    <row r="180" spans="1:5" ht="12.75" x14ac:dyDescent="0.2">
      <c r="A180" s="1">
        <v>2009</v>
      </c>
      <c r="D180" s="2">
        <f>AVERAGE(C181:C192)</f>
        <v>46.158333333333331</v>
      </c>
      <c r="E180" s="3">
        <f>MEDIAN(C181:C192)</f>
        <v>43.6</v>
      </c>
    </row>
    <row r="181" spans="1:5" ht="12.75" x14ac:dyDescent="0.2">
      <c r="B181" s="3" t="s">
        <v>10</v>
      </c>
      <c r="C181" s="3">
        <v>36.6</v>
      </c>
      <c r="D181" s="2"/>
    </row>
    <row r="182" spans="1:5" ht="12.75" x14ac:dyDescent="0.2">
      <c r="B182" s="3" t="s">
        <v>11</v>
      </c>
      <c r="C182" s="3">
        <v>42.3</v>
      </c>
      <c r="D182" s="2"/>
    </row>
    <row r="183" spans="1:5" ht="12.75" x14ac:dyDescent="0.2">
      <c r="B183" s="3" t="s">
        <v>12</v>
      </c>
      <c r="C183" s="3">
        <v>44.5</v>
      </c>
      <c r="D183" s="2"/>
    </row>
    <row r="184" spans="1:5" ht="12.75" x14ac:dyDescent="0.2">
      <c r="B184" s="3" t="s">
        <v>13</v>
      </c>
      <c r="C184" s="3">
        <v>52.6</v>
      </c>
      <c r="D184" s="2"/>
    </row>
    <row r="185" spans="1:5" ht="12.75" x14ac:dyDescent="0.2">
      <c r="B185" s="3" t="s">
        <v>14</v>
      </c>
      <c r="C185" s="3">
        <v>52.9</v>
      </c>
      <c r="D185" s="2"/>
    </row>
    <row r="186" spans="1:5" ht="12.75" x14ac:dyDescent="0.2">
      <c r="B186" s="3" t="s">
        <v>3</v>
      </c>
      <c r="C186" s="3">
        <v>56.8</v>
      </c>
      <c r="D186" s="2"/>
    </row>
    <row r="187" spans="1:5" ht="12.75" x14ac:dyDescent="0.2">
      <c r="B187" s="3" t="s">
        <v>4</v>
      </c>
      <c r="C187" s="3">
        <v>59.1</v>
      </c>
      <c r="D187" s="2"/>
    </row>
    <row r="188" spans="1:5" ht="12.75" x14ac:dyDescent="0.2">
      <c r="B188" s="3" t="s">
        <v>5</v>
      </c>
      <c r="C188" s="3">
        <v>52.2</v>
      </c>
      <c r="D188" s="2"/>
    </row>
    <row r="189" spans="1:5" ht="12.75" x14ac:dyDescent="0.2">
      <c r="B189" s="3" t="s">
        <v>6</v>
      </c>
      <c r="C189" s="3">
        <v>42.5</v>
      </c>
      <c r="D189" s="2"/>
    </row>
    <row r="190" spans="1:5" ht="12.75" x14ac:dyDescent="0.2">
      <c r="B190" s="3" t="s">
        <v>7</v>
      </c>
      <c r="C190" s="3">
        <v>42.7</v>
      </c>
      <c r="D190" s="2"/>
    </row>
    <row r="191" spans="1:5" ht="12.75" x14ac:dyDescent="0.2">
      <c r="B191" s="3" t="s">
        <v>15</v>
      </c>
      <c r="C191" s="3">
        <v>39.799999999999997</v>
      </c>
      <c r="D191" s="2"/>
    </row>
    <row r="192" spans="1:5" ht="12.75" x14ac:dyDescent="0.2">
      <c r="B192" s="3" t="s">
        <v>9</v>
      </c>
      <c r="C192" s="3">
        <v>31.9</v>
      </c>
      <c r="D192" s="2"/>
    </row>
    <row r="193" spans="1:5" ht="12.75" x14ac:dyDescent="0.2">
      <c r="A193" s="1">
        <v>2008</v>
      </c>
      <c r="D193" s="2">
        <f>AVERAGE(C194:C205)</f>
        <v>75.466666666666669</v>
      </c>
      <c r="E193" s="3">
        <f>MEDIAN(C194:C205)</f>
        <v>77.400000000000006</v>
      </c>
    </row>
    <row r="194" spans="1:5" ht="12.75" x14ac:dyDescent="0.2">
      <c r="B194" s="3" t="s">
        <v>10</v>
      </c>
      <c r="C194" s="3">
        <v>37.700000000000003</v>
      </c>
      <c r="D194" s="2"/>
    </row>
    <row r="195" spans="1:5" ht="12.75" x14ac:dyDescent="0.2">
      <c r="B195" s="3" t="s">
        <v>11</v>
      </c>
      <c r="C195" s="3">
        <v>47.5</v>
      </c>
      <c r="D195" s="2"/>
    </row>
    <row r="196" spans="1:5" ht="12.75" x14ac:dyDescent="0.2">
      <c r="B196" s="3" t="s">
        <v>12</v>
      </c>
      <c r="C196" s="3">
        <v>68.2</v>
      </c>
      <c r="D196" s="2"/>
    </row>
    <row r="197" spans="1:5" ht="12.75" x14ac:dyDescent="0.2">
      <c r="B197" s="3" t="s">
        <v>13</v>
      </c>
      <c r="C197" s="3">
        <v>73.900000000000006</v>
      </c>
      <c r="D197" s="2"/>
    </row>
    <row r="198" spans="1:5" ht="12.75" x14ac:dyDescent="0.2">
      <c r="B198" s="3" t="s">
        <v>14</v>
      </c>
      <c r="C198" s="3">
        <v>76.400000000000006</v>
      </c>
      <c r="D198" s="2"/>
    </row>
    <row r="199" spans="1:5" ht="12.75" x14ac:dyDescent="0.2">
      <c r="B199" s="3" t="s">
        <v>3</v>
      </c>
      <c r="C199" s="3">
        <v>86.7</v>
      </c>
      <c r="D199" s="2"/>
    </row>
    <row r="200" spans="1:5" ht="12.75" x14ac:dyDescent="0.2">
      <c r="B200" s="3" t="s">
        <v>4</v>
      </c>
      <c r="C200" s="3">
        <v>102.5</v>
      </c>
      <c r="D200" s="2"/>
    </row>
    <row r="201" spans="1:5" ht="12.75" x14ac:dyDescent="0.2">
      <c r="B201" s="3" t="s">
        <v>5</v>
      </c>
      <c r="C201" s="3">
        <v>91.8</v>
      </c>
      <c r="D201" s="2"/>
    </row>
    <row r="202" spans="1:5" ht="12.75" x14ac:dyDescent="0.2">
      <c r="B202" s="3" t="s">
        <v>6</v>
      </c>
      <c r="C202" s="3">
        <v>89.5</v>
      </c>
      <c r="D202" s="2"/>
    </row>
    <row r="203" spans="1:5" ht="12.75" x14ac:dyDescent="0.2">
      <c r="B203" s="3" t="s">
        <v>7</v>
      </c>
      <c r="C203" s="3">
        <v>82.2</v>
      </c>
      <c r="D203" s="2"/>
    </row>
    <row r="204" spans="1:5" ht="12.75" x14ac:dyDescent="0.2">
      <c r="B204" s="3" t="s">
        <v>15</v>
      </c>
      <c r="C204" s="3">
        <v>78.400000000000006</v>
      </c>
      <c r="D204" s="2"/>
    </row>
    <row r="205" spans="1:5" ht="12.75" x14ac:dyDescent="0.2">
      <c r="B205" s="3" t="s">
        <v>9</v>
      </c>
      <c r="C205" s="3">
        <v>70.8</v>
      </c>
      <c r="D205" s="2"/>
    </row>
    <row r="206" spans="1:5" ht="12.75" x14ac:dyDescent="0.2">
      <c r="A206" s="1">
        <v>2007</v>
      </c>
      <c r="D206" s="2">
        <f>AVERAGE(C22:C207)</f>
        <v>85.912865497076041</v>
      </c>
      <c r="E206" s="3">
        <f>MEDIAN(C207:C218)</f>
        <v>118.1</v>
      </c>
    </row>
    <row r="207" spans="1:5" ht="12.75" x14ac:dyDescent="0.2">
      <c r="B207" s="3" t="s">
        <v>10</v>
      </c>
      <c r="C207" s="3">
        <v>68.900000000000006</v>
      </c>
      <c r="D207" s="2"/>
    </row>
    <row r="208" spans="1:5" ht="12.75" x14ac:dyDescent="0.2">
      <c r="B208" s="3" t="s">
        <v>11</v>
      </c>
      <c r="C208" s="3">
        <v>88.8</v>
      </c>
      <c r="D208" s="2"/>
    </row>
    <row r="209" spans="1:5" ht="12.75" x14ac:dyDescent="0.2">
      <c r="B209" s="3" t="s">
        <v>12</v>
      </c>
      <c r="C209" s="3">
        <v>115</v>
      </c>
      <c r="D209" s="2"/>
    </row>
    <row r="210" spans="1:5" ht="12.75" x14ac:dyDescent="0.2">
      <c r="B210" s="3" t="s">
        <v>13</v>
      </c>
      <c r="C210" s="3">
        <v>101.5</v>
      </c>
      <c r="D210" s="2"/>
    </row>
    <row r="211" spans="1:5" ht="12.75" x14ac:dyDescent="0.2">
      <c r="B211" s="3" t="s">
        <v>14</v>
      </c>
      <c r="C211" s="3">
        <v>121.2</v>
      </c>
      <c r="D211" s="2"/>
    </row>
    <row r="212" spans="1:5" ht="12.75" x14ac:dyDescent="0.2">
      <c r="B212" s="3" t="s">
        <v>3</v>
      </c>
      <c r="C212" s="3">
        <v>127.9</v>
      </c>
      <c r="D212" s="2"/>
    </row>
    <row r="213" spans="1:5" ht="12.75" x14ac:dyDescent="0.2">
      <c r="B213" s="3" t="s">
        <v>4</v>
      </c>
      <c r="C213" s="3">
        <v>137.80000000000001</v>
      </c>
      <c r="D213" s="2"/>
    </row>
    <row r="214" spans="1:5" ht="12.75" x14ac:dyDescent="0.2">
      <c r="B214" s="3" t="s">
        <v>5</v>
      </c>
      <c r="C214" s="3">
        <v>136.5</v>
      </c>
      <c r="D214" s="2"/>
    </row>
    <row r="215" spans="1:5" ht="12.75" x14ac:dyDescent="0.2">
      <c r="B215" s="3" t="s">
        <v>6</v>
      </c>
      <c r="C215" s="3">
        <v>135.6</v>
      </c>
      <c r="D215" s="2"/>
    </row>
    <row r="216" spans="1:5" ht="12.75" x14ac:dyDescent="0.2">
      <c r="B216" s="3" t="s">
        <v>7</v>
      </c>
      <c r="C216" s="3">
        <v>123.8</v>
      </c>
      <c r="D216" s="2"/>
    </row>
    <row r="217" spans="1:5" ht="12.75" x14ac:dyDescent="0.2">
      <c r="B217" s="3" t="s">
        <v>15</v>
      </c>
      <c r="C217" s="3">
        <v>103.1</v>
      </c>
      <c r="D217" s="2"/>
    </row>
    <row r="218" spans="1:5" ht="12.75" x14ac:dyDescent="0.2">
      <c r="B218" s="3" t="s">
        <v>9</v>
      </c>
      <c r="C218" s="3">
        <v>95</v>
      </c>
      <c r="D218" s="2"/>
    </row>
    <row r="219" spans="1:5" ht="12.75" x14ac:dyDescent="0.2">
      <c r="A219" s="1">
        <v>2006</v>
      </c>
      <c r="D219" s="2">
        <f>AVERAGE(C220:C231)</f>
        <v>150.07500000000002</v>
      </c>
      <c r="E219" s="3">
        <f>MEDIAN(C220:C231)</f>
        <v>151.55000000000001</v>
      </c>
    </row>
    <row r="220" spans="1:5" ht="12.75" x14ac:dyDescent="0.2">
      <c r="B220" s="3" t="s">
        <v>10</v>
      </c>
      <c r="C220" s="3">
        <v>112.4</v>
      </c>
      <c r="D220" s="2"/>
    </row>
    <row r="221" spans="1:5" ht="12.75" x14ac:dyDescent="0.2">
      <c r="B221" s="3" t="s">
        <v>11</v>
      </c>
      <c r="C221" s="3">
        <v>115.2</v>
      </c>
      <c r="D221" s="2"/>
    </row>
    <row r="222" spans="1:5" ht="12.75" x14ac:dyDescent="0.2">
      <c r="B222" s="3" t="s">
        <v>12</v>
      </c>
      <c r="C222" s="3">
        <v>130.6</v>
      </c>
      <c r="D222" s="2"/>
    </row>
    <row r="223" spans="1:5" ht="12.75" x14ac:dyDescent="0.2">
      <c r="B223" s="3" t="s">
        <v>13</v>
      </c>
      <c r="C223" s="3">
        <v>150.1</v>
      </c>
      <c r="D223" s="2"/>
    </row>
    <row r="224" spans="1:5" ht="12.75" x14ac:dyDescent="0.2">
      <c r="B224" s="3" t="s">
        <v>14</v>
      </c>
      <c r="C224" s="3">
        <v>146.80000000000001</v>
      </c>
      <c r="D224" s="2"/>
    </row>
    <row r="225" spans="1:5" ht="12.75" x14ac:dyDescent="0.2">
      <c r="B225" s="3" t="s">
        <v>3</v>
      </c>
      <c r="C225" s="3">
        <v>160.9</v>
      </c>
      <c r="D225" s="2"/>
    </row>
    <row r="226" spans="1:5" ht="12.75" x14ac:dyDescent="0.2">
      <c r="B226" s="3" t="s">
        <v>4</v>
      </c>
      <c r="C226" s="3">
        <v>170.2</v>
      </c>
      <c r="D226" s="2"/>
    </row>
    <row r="227" spans="1:5" ht="12.75" x14ac:dyDescent="0.2">
      <c r="B227" s="3" t="s">
        <v>5</v>
      </c>
      <c r="C227" s="3">
        <v>190.2</v>
      </c>
      <c r="D227" s="2"/>
    </row>
    <row r="228" spans="1:5" ht="12.75" x14ac:dyDescent="0.2">
      <c r="B228" s="3" t="s">
        <v>6</v>
      </c>
      <c r="C228" s="3">
        <v>160.5</v>
      </c>
      <c r="D228" s="2"/>
    </row>
    <row r="229" spans="1:5" ht="12.75" x14ac:dyDescent="0.2">
      <c r="B229" s="3" t="s">
        <v>7</v>
      </c>
      <c r="C229" s="3">
        <v>165.9</v>
      </c>
      <c r="D229" s="2"/>
    </row>
    <row r="230" spans="1:5" ht="12.75" x14ac:dyDescent="0.2">
      <c r="B230" s="3" t="s">
        <v>15</v>
      </c>
      <c r="C230" s="3">
        <v>145.1</v>
      </c>
      <c r="D230" s="2"/>
    </row>
    <row r="231" spans="1:5" ht="12.75" x14ac:dyDescent="0.2">
      <c r="B231" s="3" t="s">
        <v>9</v>
      </c>
      <c r="C231" s="3">
        <v>153</v>
      </c>
      <c r="D231" s="2"/>
    </row>
    <row r="232" spans="1:5" ht="12.75" x14ac:dyDescent="0.2">
      <c r="A232" s="1">
        <v>2005</v>
      </c>
      <c r="D232" s="2">
        <f>AVERAGE(C233:C244)</f>
        <v>172.34166666666667</v>
      </c>
      <c r="E232" s="3">
        <f>MEDIAN(C233:C244)</f>
        <v>182.5</v>
      </c>
    </row>
    <row r="233" spans="1:5" ht="12.75" x14ac:dyDescent="0.2">
      <c r="B233" s="3" t="s">
        <v>10</v>
      </c>
      <c r="C233" s="3">
        <v>136</v>
      </c>
      <c r="D233" s="2"/>
    </row>
    <row r="234" spans="1:5" ht="12.75" x14ac:dyDescent="0.2">
      <c r="B234" s="3" t="s">
        <v>11</v>
      </c>
      <c r="C234" s="3">
        <v>160.69999999999999</v>
      </c>
      <c r="D234" s="2"/>
    </row>
    <row r="235" spans="1:5" ht="12.75" x14ac:dyDescent="0.2">
      <c r="B235" s="3" t="s">
        <v>12</v>
      </c>
      <c r="C235" s="3">
        <v>180.4</v>
      </c>
      <c r="D235" s="2"/>
    </row>
    <row r="236" spans="1:5" ht="12.75" x14ac:dyDescent="0.2">
      <c r="B236" s="3" t="s">
        <v>13</v>
      </c>
      <c r="C236" s="3">
        <v>187.9</v>
      </c>
      <c r="D236" s="2"/>
    </row>
    <row r="237" spans="1:5" ht="12.75" x14ac:dyDescent="0.2">
      <c r="B237" s="3" t="s">
        <v>14</v>
      </c>
      <c r="C237" s="3">
        <v>192</v>
      </c>
      <c r="D237" s="2"/>
    </row>
    <row r="238" spans="1:5" ht="12.75" x14ac:dyDescent="0.2">
      <c r="B238" s="3" t="s">
        <v>3</v>
      </c>
      <c r="C238" s="3">
        <v>187.6</v>
      </c>
      <c r="D238" s="2"/>
    </row>
    <row r="239" spans="1:5" ht="12.75" x14ac:dyDescent="0.2">
      <c r="B239" s="3" t="s">
        <v>4</v>
      </c>
      <c r="C239" s="3">
        <v>192.8</v>
      </c>
      <c r="D239" s="2"/>
    </row>
    <row r="240" spans="1:5" ht="12.75" x14ac:dyDescent="0.2">
      <c r="B240" s="3" t="s">
        <v>5</v>
      </c>
      <c r="C240" s="3">
        <v>197.9</v>
      </c>
      <c r="D240" s="2"/>
    </row>
    <row r="241" spans="1:5" ht="12.75" x14ac:dyDescent="0.2">
      <c r="B241" s="3" t="s">
        <v>6</v>
      </c>
      <c r="C241" s="3">
        <v>184.6</v>
      </c>
      <c r="D241" s="2"/>
    </row>
    <row r="242" spans="1:5" ht="12.75" x14ac:dyDescent="0.2">
      <c r="B242" s="3" t="s">
        <v>7</v>
      </c>
      <c r="C242" s="3">
        <v>156.19999999999999</v>
      </c>
      <c r="D242" s="2"/>
    </row>
    <row r="243" spans="1:5" ht="12.75" x14ac:dyDescent="0.2">
      <c r="B243" s="3" t="s">
        <v>15</v>
      </c>
      <c r="C243" s="3">
        <v>149.1</v>
      </c>
      <c r="D243" s="2"/>
    </row>
    <row r="244" spans="1:5" ht="12.75" x14ac:dyDescent="0.2">
      <c r="B244" s="3" t="s">
        <v>9</v>
      </c>
      <c r="C244" s="3">
        <v>142.9</v>
      </c>
      <c r="D244" s="2"/>
    </row>
    <row r="245" spans="1:5" ht="12.75" x14ac:dyDescent="0.2">
      <c r="A245" s="1">
        <v>2004</v>
      </c>
      <c r="D245" s="2">
        <f>AVERAGE(C246:C257)</f>
        <v>162.96666666666667</v>
      </c>
      <c r="E245" s="3">
        <f>MEDIAN(C246:C257)</f>
        <v>173.05</v>
      </c>
    </row>
    <row r="246" spans="1:5" ht="12.75" x14ac:dyDescent="0.2">
      <c r="B246" s="3" t="s">
        <v>10</v>
      </c>
      <c r="C246" s="3">
        <v>140.19999999999999</v>
      </c>
      <c r="D246" s="2"/>
    </row>
    <row r="247" spans="1:5" ht="12.75" x14ac:dyDescent="0.2">
      <c r="B247" s="3" t="s">
        <v>11</v>
      </c>
      <c r="C247" s="3">
        <v>138.1</v>
      </c>
      <c r="D247" s="2"/>
    </row>
    <row r="248" spans="1:5" ht="12.75" x14ac:dyDescent="0.2">
      <c r="B248" s="3" t="s">
        <v>12</v>
      </c>
      <c r="C248" s="3">
        <v>181.3</v>
      </c>
      <c r="D248" s="2"/>
    </row>
    <row r="249" spans="1:5" ht="12.75" x14ac:dyDescent="0.2">
      <c r="B249" s="3" t="s">
        <v>13</v>
      </c>
      <c r="C249" s="3">
        <v>164</v>
      </c>
      <c r="D249" s="2"/>
    </row>
    <row r="250" spans="1:5" ht="12.75" x14ac:dyDescent="0.2">
      <c r="B250" s="3" t="s">
        <v>14</v>
      </c>
      <c r="C250" s="3">
        <v>185.9</v>
      </c>
      <c r="D250" s="2"/>
    </row>
    <row r="251" spans="1:5" ht="12.75" x14ac:dyDescent="0.2">
      <c r="B251" s="3" t="s">
        <v>3</v>
      </c>
      <c r="C251" s="3">
        <v>182</v>
      </c>
      <c r="D251" s="2"/>
    </row>
    <row r="252" spans="1:5" ht="12.75" x14ac:dyDescent="0.2">
      <c r="B252" s="3" t="s">
        <v>4</v>
      </c>
      <c r="C252" s="3">
        <v>172.3</v>
      </c>
      <c r="D252" s="2"/>
    </row>
    <row r="253" spans="1:5" ht="12.75" x14ac:dyDescent="0.2">
      <c r="B253" s="3" t="s">
        <v>5</v>
      </c>
      <c r="C253" s="3">
        <v>187.6</v>
      </c>
      <c r="D253" s="2"/>
    </row>
    <row r="254" spans="1:5" ht="12.75" x14ac:dyDescent="0.2">
      <c r="B254" s="3" t="s">
        <v>6</v>
      </c>
      <c r="C254" s="3">
        <v>179.5</v>
      </c>
      <c r="D254" s="2"/>
    </row>
    <row r="255" spans="1:5" ht="12.75" x14ac:dyDescent="0.2">
      <c r="B255" s="3" t="s">
        <v>7</v>
      </c>
      <c r="C255" s="3">
        <v>173.8</v>
      </c>
      <c r="D255" s="2"/>
    </row>
    <row r="256" spans="1:5" ht="12.75" x14ac:dyDescent="0.2">
      <c r="B256" s="3" t="s">
        <v>15</v>
      </c>
      <c r="C256" s="3">
        <v>126.4</v>
      </c>
      <c r="D256" s="2"/>
    </row>
    <row r="257" spans="1:5" ht="12.75" x14ac:dyDescent="0.2">
      <c r="B257" s="3" t="s">
        <v>9</v>
      </c>
      <c r="C257" s="3">
        <v>124.5</v>
      </c>
      <c r="D257" s="2"/>
    </row>
    <row r="258" spans="1:5" ht="12.75" x14ac:dyDescent="0.2">
      <c r="A258" s="1">
        <v>2003</v>
      </c>
      <c r="D258" s="2">
        <f>AVERAGE(C259:C270)</f>
        <v>153.97499999999999</v>
      </c>
      <c r="E258" s="3">
        <f>MEDIAN(C259:C270)</f>
        <v>158.75</v>
      </c>
    </row>
    <row r="259" spans="1:5" ht="12.75" x14ac:dyDescent="0.2">
      <c r="B259" s="3" t="s">
        <v>10</v>
      </c>
      <c r="C259" s="3">
        <v>144.19999999999999</v>
      </c>
      <c r="D259" s="2"/>
    </row>
    <row r="260" spans="1:5" ht="12.75" x14ac:dyDescent="0.2">
      <c r="B260" s="3" t="s">
        <v>11</v>
      </c>
      <c r="C260" s="3">
        <v>153.69999999999999</v>
      </c>
      <c r="D260" s="2"/>
    </row>
    <row r="261" spans="1:5" ht="12.75" x14ac:dyDescent="0.2">
      <c r="B261" s="3" t="s">
        <v>12</v>
      </c>
      <c r="C261" s="3">
        <v>173.5</v>
      </c>
      <c r="D261" s="2"/>
    </row>
    <row r="262" spans="1:5" ht="12.75" x14ac:dyDescent="0.2">
      <c r="B262" s="3" t="s">
        <v>13</v>
      </c>
      <c r="C262" s="3">
        <v>171.3</v>
      </c>
      <c r="D262" s="2"/>
    </row>
    <row r="263" spans="1:5" ht="12.75" x14ac:dyDescent="0.2">
      <c r="B263" s="3" t="s">
        <v>14</v>
      </c>
      <c r="C263" s="3">
        <v>163.80000000000001</v>
      </c>
      <c r="D263" s="2"/>
    </row>
    <row r="264" spans="1:5" ht="12.75" x14ac:dyDescent="0.2">
      <c r="B264" s="3" t="s">
        <v>3</v>
      </c>
      <c r="C264" s="3">
        <v>175.8</v>
      </c>
      <c r="D264" s="2"/>
    </row>
    <row r="265" spans="1:5" ht="12.75" x14ac:dyDescent="0.2">
      <c r="B265" s="3" t="s">
        <v>4</v>
      </c>
      <c r="C265" s="3">
        <v>174.5</v>
      </c>
      <c r="D265" s="2"/>
    </row>
    <row r="266" spans="1:5" ht="12.75" x14ac:dyDescent="0.2">
      <c r="B266" s="3" t="s">
        <v>5</v>
      </c>
      <c r="C266" s="3">
        <v>165</v>
      </c>
      <c r="D266" s="2"/>
    </row>
    <row r="267" spans="1:5" ht="12.75" x14ac:dyDescent="0.2">
      <c r="B267" s="3" t="s">
        <v>6</v>
      </c>
      <c r="C267" s="3">
        <v>151.19999999999999</v>
      </c>
      <c r="D267" s="2"/>
    </row>
    <row r="268" spans="1:5" ht="12.75" x14ac:dyDescent="0.2">
      <c r="B268" s="3" t="s">
        <v>7</v>
      </c>
      <c r="C268" s="3">
        <v>147.19999999999999</v>
      </c>
      <c r="D268" s="2"/>
    </row>
    <row r="269" spans="1:5" ht="12.75" x14ac:dyDescent="0.2">
      <c r="B269" s="3" t="s">
        <v>15</v>
      </c>
      <c r="C269" s="3">
        <v>109.7</v>
      </c>
      <c r="D269" s="2"/>
    </row>
    <row r="270" spans="1:5" ht="12.75" x14ac:dyDescent="0.2">
      <c r="B270" s="3" t="s">
        <v>9</v>
      </c>
      <c r="C270" s="3">
        <v>117.8</v>
      </c>
      <c r="D270" s="2"/>
    </row>
    <row r="271" spans="1:5" ht="12.75" x14ac:dyDescent="0.2">
      <c r="A271" s="1">
        <v>2002</v>
      </c>
      <c r="D271" s="2">
        <f>AVERAGE(C272:C283)</f>
        <v>142.08333333333334</v>
      </c>
      <c r="E271" s="3">
        <f>MEDIAN(C272:C283)</f>
        <v>146.9</v>
      </c>
    </row>
    <row r="272" spans="1:5" ht="12.75" x14ac:dyDescent="0.2">
      <c r="B272" s="3" t="s">
        <v>10</v>
      </c>
      <c r="C272" s="3">
        <v>123.1</v>
      </c>
      <c r="D272" s="2"/>
    </row>
    <row r="273" spans="1:5" ht="12.75" x14ac:dyDescent="0.2">
      <c r="B273" s="3" t="s">
        <v>11</v>
      </c>
      <c r="C273" s="3">
        <v>133</v>
      </c>
      <c r="D273" s="2"/>
    </row>
    <row r="274" spans="1:5" ht="12.75" x14ac:dyDescent="0.2">
      <c r="B274" s="3" t="s">
        <v>12</v>
      </c>
      <c r="C274" s="3">
        <v>146.80000000000001</v>
      </c>
      <c r="D274" s="2"/>
    </row>
    <row r="275" spans="1:5" ht="12.75" x14ac:dyDescent="0.2">
      <c r="B275" s="3" t="s">
        <v>13</v>
      </c>
      <c r="C275" s="3">
        <v>155.6</v>
      </c>
      <c r="D275" s="2"/>
    </row>
    <row r="276" spans="1:5" ht="12.75" x14ac:dyDescent="0.2">
      <c r="B276" s="3" t="s">
        <v>14</v>
      </c>
      <c r="C276" s="3">
        <v>147</v>
      </c>
      <c r="D276" s="2"/>
    </row>
    <row r="277" spans="1:5" ht="12.75" x14ac:dyDescent="0.2">
      <c r="B277" s="3" t="s">
        <v>3</v>
      </c>
      <c r="C277" s="3">
        <v>155.9</v>
      </c>
      <c r="D277" s="2"/>
    </row>
    <row r="278" spans="1:5" ht="12.75" x14ac:dyDescent="0.2">
      <c r="B278" s="3" t="s">
        <v>4</v>
      </c>
      <c r="C278" s="3">
        <v>160.30000000000001</v>
      </c>
      <c r="D278" s="2"/>
    </row>
    <row r="279" spans="1:5" ht="12.75" x14ac:dyDescent="0.2">
      <c r="B279" s="3" t="s">
        <v>5</v>
      </c>
      <c r="C279" s="3">
        <v>165.5</v>
      </c>
      <c r="D279" s="2"/>
    </row>
    <row r="280" spans="1:5" ht="12.75" x14ac:dyDescent="0.2">
      <c r="B280" s="3" t="s">
        <v>6</v>
      </c>
      <c r="C280" s="3">
        <v>148.80000000000001</v>
      </c>
      <c r="D280" s="2"/>
    </row>
    <row r="281" spans="1:5" ht="12.75" x14ac:dyDescent="0.2">
      <c r="B281" s="3" t="s">
        <v>7</v>
      </c>
      <c r="C281" s="3">
        <v>138.19999999999999</v>
      </c>
      <c r="D281" s="2"/>
    </row>
    <row r="282" spans="1:5" ht="12.75" x14ac:dyDescent="0.2">
      <c r="B282" s="3" t="s">
        <v>15</v>
      </c>
      <c r="C282" s="3">
        <v>120.4</v>
      </c>
      <c r="D282" s="2"/>
    </row>
    <row r="283" spans="1:5" ht="12.75" x14ac:dyDescent="0.2">
      <c r="B283" s="3" t="s">
        <v>9</v>
      </c>
      <c r="C283" s="3">
        <v>110.4</v>
      </c>
      <c r="D283" s="2"/>
    </row>
    <row r="284" spans="1:5" ht="12.75" x14ac:dyDescent="0.2">
      <c r="A284" s="1">
        <v>2001</v>
      </c>
      <c r="D284" s="2">
        <f>AVERAGE(C285:C296)</f>
        <v>133.57500000000002</v>
      </c>
      <c r="E284" s="3">
        <f>MEDIAN(C285:C296)</f>
        <v>136.5</v>
      </c>
    </row>
    <row r="285" spans="1:5" ht="12.75" x14ac:dyDescent="0.2">
      <c r="B285" s="3" t="s">
        <v>10</v>
      </c>
      <c r="C285" s="3">
        <v>104.6</v>
      </c>
      <c r="D285" s="2"/>
    </row>
    <row r="286" spans="1:5" ht="12.75" x14ac:dyDescent="0.2">
      <c r="B286" s="3" t="s">
        <v>11</v>
      </c>
      <c r="C286" s="3">
        <v>121</v>
      </c>
      <c r="D286" s="2"/>
    </row>
    <row r="287" spans="1:5" ht="12.75" x14ac:dyDescent="0.2">
      <c r="B287" s="3" t="s">
        <v>12</v>
      </c>
      <c r="C287" s="3">
        <v>139.80000000000001</v>
      </c>
      <c r="D287" s="2"/>
    </row>
    <row r="288" spans="1:5" ht="12.75" x14ac:dyDescent="0.2">
      <c r="B288" s="3" t="s">
        <v>13</v>
      </c>
      <c r="C288" s="3">
        <v>133.1</v>
      </c>
      <c r="D288" s="2"/>
    </row>
    <row r="289" spans="1:5" ht="12.75" x14ac:dyDescent="0.2">
      <c r="B289" s="3" t="s">
        <v>14</v>
      </c>
      <c r="C289" s="3">
        <v>141.5</v>
      </c>
      <c r="D289" s="2"/>
    </row>
    <row r="290" spans="1:5" ht="12.75" x14ac:dyDescent="0.2">
      <c r="B290" s="3" t="s">
        <v>3</v>
      </c>
      <c r="C290" s="3">
        <v>154.6</v>
      </c>
      <c r="D290" s="2"/>
    </row>
    <row r="291" spans="1:5" ht="12.75" x14ac:dyDescent="0.2">
      <c r="B291" s="3" t="s">
        <v>4</v>
      </c>
      <c r="C291" s="3">
        <v>155.19999999999999</v>
      </c>
      <c r="D291" s="2"/>
    </row>
    <row r="292" spans="1:5" ht="12.75" x14ac:dyDescent="0.2">
      <c r="B292" s="3" t="s">
        <v>5</v>
      </c>
      <c r="C292" s="3">
        <v>154</v>
      </c>
      <c r="D292" s="2"/>
    </row>
    <row r="293" spans="1:5" ht="12.75" x14ac:dyDescent="0.2">
      <c r="B293" s="3" t="s">
        <v>6</v>
      </c>
      <c r="C293" s="3">
        <v>151.30000000000001</v>
      </c>
      <c r="D293" s="2"/>
    </row>
    <row r="294" spans="1:5" ht="12.75" x14ac:dyDescent="0.2">
      <c r="B294" s="3" t="s">
        <v>7</v>
      </c>
      <c r="C294" s="3">
        <v>133.19999999999999</v>
      </c>
      <c r="D294" s="2"/>
    </row>
    <row r="295" spans="1:5" ht="12.75" x14ac:dyDescent="0.2">
      <c r="B295" s="3" t="s">
        <v>15</v>
      </c>
      <c r="C295" s="3">
        <v>108.2</v>
      </c>
      <c r="D295" s="2"/>
    </row>
    <row r="296" spans="1:5" ht="12.75" x14ac:dyDescent="0.2">
      <c r="B296" s="3" t="s">
        <v>9</v>
      </c>
      <c r="C296" s="3">
        <v>106.4</v>
      </c>
      <c r="D296" s="2"/>
    </row>
    <row r="297" spans="1:5" ht="12.75" x14ac:dyDescent="0.2">
      <c r="A297" s="1">
        <v>2000</v>
      </c>
      <c r="D297" s="2">
        <f>AVERAGE(C298:C309)</f>
        <v>130.71666666666667</v>
      </c>
      <c r="E297" s="3">
        <f>MEDIAN(C298:C309)</f>
        <v>134.19999999999999</v>
      </c>
    </row>
    <row r="298" spans="1:5" ht="12.75" x14ac:dyDescent="0.2">
      <c r="B298" s="3" t="s">
        <v>10</v>
      </c>
      <c r="C298" s="3">
        <v>100.7</v>
      </c>
      <c r="D298" s="2"/>
    </row>
    <row r="299" spans="1:5" ht="12.75" x14ac:dyDescent="0.2">
      <c r="B299" s="3" t="s">
        <v>11</v>
      </c>
      <c r="C299" s="3">
        <v>117.1</v>
      </c>
      <c r="D299" s="2"/>
    </row>
    <row r="300" spans="1:5" ht="12.75" x14ac:dyDescent="0.2">
      <c r="B300" s="3" t="s">
        <v>12</v>
      </c>
      <c r="C300" s="3">
        <v>139.69999999999999</v>
      </c>
      <c r="D300" s="2"/>
    </row>
    <row r="301" spans="1:5" ht="12.75" x14ac:dyDescent="0.2">
      <c r="B301" s="3" t="s">
        <v>13</v>
      </c>
      <c r="C301" s="3">
        <v>128.9</v>
      </c>
      <c r="D301" s="2"/>
    </row>
    <row r="302" spans="1:5" ht="12.75" x14ac:dyDescent="0.2">
      <c r="B302" s="3" t="s">
        <v>14</v>
      </c>
      <c r="C302" s="3">
        <v>141.4</v>
      </c>
      <c r="D302" s="2"/>
    </row>
    <row r="303" spans="1:5" ht="12.75" x14ac:dyDescent="0.2">
      <c r="B303" s="3" t="s">
        <v>3</v>
      </c>
      <c r="C303" s="3">
        <v>135</v>
      </c>
      <c r="D303" s="2"/>
    </row>
    <row r="304" spans="1:5" ht="12.75" x14ac:dyDescent="0.2">
      <c r="B304" s="3" t="s">
        <v>4</v>
      </c>
      <c r="C304" s="3">
        <v>146.30000000000001</v>
      </c>
      <c r="D304" s="2"/>
    </row>
    <row r="305" spans="1:5" ht="12.75" x14ac:dyDescent="0.2">
      <c r="B305" s="3" t="s">
        <v>5</v>
      </c>
      <c r="C305" s="3">
        <v>152.9</v>
      </c>
      <c r="D305" s="2"/>
    </row>
    <row r="306" spans="1:5" ht="12.75" x14ac:dyDescent="0.2">
      <c r="B306" s="3" t="s">
        <v>6</v>
      </c>
      <c r="C306" s="3">
        <v>149.5</v>
      </c>
      <c r="D306" s="2"/>
    </row>
    <row r="307" spans="1:5" ht="12.75" x14ac:dyDescent="0.2">
      <c r="B307" s="3" t="s">
        <v>7</v>
      </c>
      <c r="C307" s="3">
        <v>133.4</v>
      </c>
      <c r="D307" s="2"/>
    </row>
    <row r="308" spans="1:5" ht="12.75" x14ac:dyDescent="0.2">
      <c r="B308" s="3" t="s">
        <v>15</v>
      </c>
      <c r="C308" s="3">
        <v>119.7</v>
      </c>
      <c r="D308" s="2"/>
    </row>
    <row r="309" spans="1:5" ht="12.75" x14ac:dyDescent="0.2">
      <c r="B309" s="3" t="s">
        <v>9</v>
      </c>
      <c r="C309" s="3">
        <v>104</v>
      </c>
      <c r="D309" s="2"/>
    </row>
    <row r="310" spans="1:5" ht="12.75" x14ac:dyDescent="0.2">
      <c r="A310" s="1">
        <v>1999</v>
      </c>
      <c r="D310" s="2">
        <f>AVERAGE(C311:C322)</f>
        <v>136.76666666666665</v>
      </c>
      <c r="E310" s="3">
        <f>MEDIAN(C311:C322)</f>
        <v>143.75</v>
      </c>
    </row>
    <row r="311" spans="1:5" ht="12.75" x14ac:dyDescent="0.2">
      <c r="B311" s="3" t="s">
        <v>10</v>
      </c>
      <c r="C311" s="3">
        <v>113.6</v>
      </c>
      <c r="D311" s="2"/>
    </row>
    <row r="312" spans="1:5" ht="12.75" x14ac:dyDescent="0.2">
      <c r="B312" s="3" t="s">
        <v>11</v>
      </c>
      <c r="C312" s="3">
        <v>127.4</v>
      </c>
      <c r="D312" s="2"/>
    </row>
    <row r="313" spans="1:5" ht="12.75" x14ac:dyDescent="0.2">
      <c r="B313" s="3" t="s">
        <v>12</v>
      </c>
      <c r="C313" s="3">
        <v>142.9</v>
      </c>
      <c r="D313" s="2"/>
    </row>
    <row r="314" spans="1:5" ht="12.75" x14ac:dyDescent="0.2">
      <c r="B314" s="3" t="s">
        <v>13</v>
      </c>
      <c r="C314" s="3">
        <v>140.30000000000001</v>
      </c>
      <c r="D314" s="2"/>
    </row>
    <row r="315" spans="1:5" ht="12.75" x14ac:dyDescent="0.2">
      <c r="B315" s="3" t="s">
        <v>14</v>
      </c>
      <c r="C315" s="3">
        <v>152.9</v>
      </c>
      <c r="D315" s="2"/>
    </row>
    <row r="316" spans="1:5" ht="12.75" x14ac:dyDescent="0.2">
      <c r="B316" s="3" t="s">
        <v>3</v>
      </c>
      <c r="C316" s="3">
        <v>152.6</v>
      </c>
      <c r="D316" s="2"/>
    </row>
    <row r="317" spans="1:5" ht="12.75" x14ac:dyDescent="0.2">
      <c r="B317" s="3" t="s">
        <v>4</v>
      </c>
      <c r="C317" s="3">
        <v>149.4</v>
      </c>
      <c r="D317" s="2"/>
    </row>
    <row r="318" spans="1:5" ht="12.75" x14ac:dyDescent="0.2">
      <c r="B318" s="3" t="s">
        <v>5</v>
      </c>
      <c r="C318" s="3">
        <v>153.19999999999999</v>
      </c>
      <c r="D318" s="2"/>
    </row>
    <row r="319" spans="1:5" ht="12.75" x14ac:dyDescent="0.2">
      <c r="B319" s="3" t="s">
        <v>6</v>
      </c>
      <c r="C319" s="3">
        <v>144.6</v>
      </c>
      <c r="D319" s="2"/>
    </row>
    <row r="320" spans="1:5" ht="12.75" x14ac:dyDescent="0.2">
      <c r="B320" s="3" t="s">
        <v>7</v>
      </c>
      <c r="C320" s="3">
        <v>147.30000000000001</v>
      </c>
      <c r="D320" s="2"/>
    </row>
    <row r="321" spans="1:5" ht="12.75" x14ac:dyDescent="0.2">
      <c r="B321" s="3" t="s">
        <v>15</v>
      </c>
      <c r="C321" s="3">
        <v>110.2</v>
      </c>
      <c r="D321" s="2"/>
    </row>
    <row r="322" spans="1:5" ht="12.75" x14ac:dyDescent="0.2">
      <c r="B322" s="3" t="s">
        <v>9</v>
      </c>
      <c r="C322" s="3">
        <v>106.8</v>
      </c>
      <c r="D322" s="2"/>
    </row>
    <row r="323" spans="1:5" ht="12.75" x14ac:dyDescent="0.2">
      <c r="A323" s="1">
        <v>1998</v>
      </c>
      <c r="D323" s="2">
        <f>AVERAGE(C324:C335)</f>
        <v>134.75</v>
      </c>
      <c r="E323" s="3">
        <f>MEDIAN(C324:C335)</f>
        <v>142.4</v>
      </c>
    </row>
    <row r="324" spans="1:5" ht="12.75" x14ac:dyDescent="0.2">
      <c r="B324" s="3" t="s">
        <v>10</v>
      </c>
      <c r="C324" s="3">
        <v>119.6</v>
      </c>
      <c r="D324" s="2"/>
    </row>
    <row r="325" spans="1:5" ht="12.75" x14ac:dyDescent="0.2">
      <c r="B325" s="3" t="s">
        <v>11</v>
      </c>
      <c r="C325" s="3">
        <v>124.2</v>
      </c>
      <c r="D325" s="2"/>
    </row>
    <row r="326" spans="1:5" ht="12.75" x14ac:dyDescent="0.2">
      <c r="B326" s="3" t="s">
        <v>12</v>
      </c>
      <c r="C326" s="3">
        <v>155.5</v>
      </c>
      <c r="D326" s="2"/>
    </row>
    <row r="327" spans="1:5" ht="12.75" x14ac:dyDescent="0.2">
      <c r="B327" s="3" t="s">
        <v>13</v>
      </c>
      <c r="C327" s="3">
        <v>141.5</v>
      </c>
      <c r="D327" s="2"/>
    </row>
    <row r="328" spans="1:5" ht="12.75" x14ac:dyDescent="0.2">
      <c r="B328" s="3" t="s">
        <v>14</v>
      </c>
      <c r="C328" s="3">
        <v>147.5</v>
      </c>
      <c r="D328" s="2"/>
    </row>
    <row r="329" spans="1:5" ht="12.75" x14ac:dyDescent="0.2">
      <c r="B329" s="3" t="s">
        <v>3</v>
      </c>
      <c r="C329" s="3">
        <v>156</v>
      </c>
      <c r="D329" s="2"/>
    </row>
    <row r="330" spans="1:5" ht="12.75" x14ac:dyDescent="0.2">
      <c r="B330" s="3" t="s">
        <v>4</v>
      </c>
      <c r="C330" s="3">
        <v>159.6</v>
      </c>
      <c r="D330" s="2"/>
    </row>
    <row r="331" spans="1:5" ht="12.75" x14ac:dyDescent="0.2">
      <c r="B331" s="3" t="s">
        <v>5</v>
      </c>
      <c r="C331" s="3">
        <v>143.30000000000001</v>
      </c>
      <c r="D331" s="2"/>
    </row>
    <row r="332" spans="1:5" ht="12.75" x14ac:dyDescent="0.2">
      <c r="B332" s="3" t="s">
        <v>6</v>
      </c>
      <c r="C332" s="3">
        <v>144.9</v>
      </c>
      <c r="D332" s="2"/>
    </row>
    <row r="333" spans="1:5" ht="12.75" x14ac:dyDescent="0.2">
      <c r="B333" s="3" t="s">
        <v>7</v>
      </c>
      <c r="C333" s="3">
        <v>132.6</v>
      </c>
      <c r="D333" s="2"/>
    </row>
    <row r="334" spans="1:5" ht="12.75" x14ac:dyDescent="0.2">
      <c r="B334" s="3" t="s">
        <v>15</v>
      </c>
      <c r="C334" s="3">
        <v>101.1</v>
      </c>
      <c r="D334" s="2"/>
    </row>
    <row r="335" spans="1:5" ht="12.75" x14ac:dyDescent="0.2">
      <c r="B335" s="3" t="s">
        <v>9</v>
      </c>
      <c r="C335" s="3">
        <v>91.2</v>
      </c>
      <c r="D335" s="2"/>
    </row>
    <row r="336" spans="1:5" ht="12.75" x14ac:dyDescent="0.2">
      <c r="A336" s="1">
        <v>1997</v>
      </c>
      <c r="D336" s="2">
        <f>AVERAGE(C337:C348)</f>
        <v>122.83333333333333</v>
      </c>
      <c r="E336" s="3">
        <f>MEDIAN(C337:C348)</f>
        <v>130.55000000000001</v>
      </c>
    </row>
    <row r="337" spans="1:5" ht="12.75" x14ac:dyDescent="0.2">
      <c r="B337" s="3" t="s">
        <v>10</v>
      </c>
      <c r="C337" s="3">
        <v>106</v>
      </c>
      <c r="D337" s="2"/>
    </row>
    <row r="338" spans="1:5" ht="12.75" x14ac:dyDescent="0.2">
      <c r="B338" s="3" t="s">
        <v>11</v>
      </c>
      <c r="C338" s="3">
        <v>112.4</v>
      </c>
      <c r="D338" s="2"/>
    </row>
    <row r="339" spans="1:5" ht="12.75" x14ac:dyDescent="0.2">
      <c r="B339" s="3" t="s">
        <v>12</v>
      </c>
      <c r="C339" s="3">
        <v>139</v>
      </c>
      <c r="D339" s="2"/>
    </row>
    <row r="340" spans="1:5" ht="12.75" x14ac:dyDescent="0.2">
      <c r="B340" s="3" t="s">
        <v>13</v>
      </c>
      <c r="C340" s="3">
        <v>139.19999999999999</v>
      </c>
      <c r="D340" s="2"/>
    </row>
    <row r="341" spans="1:5" ht="12.75" x14ac:dyDescent="0.2">
      <c r="B341" s="3" t="s">
        <v>14</v>
      </c>
      <c r="C341" s="3">
        <v>126.5</v>
      </c>
      <c r="D341" s="2"/>
    </row>
    <row r="342" spans="1:5" ht="12.75" x14ac:dyDescent="0.2">
      <c r="B342" s="3" t="s">
        <v>3</v>
      </c>
      <c r="C342" s="3">
        <v>134.6</v>
      </c>
      <c r="D342" s="2"/>
    </row>
    <row r="343" spans="1:5" ht="12.75" x14ac:dyDescent="0.2">
      <c r="B343" s="3" t="s">
        <v>4</v>
      </c>
      <c r="C343" s="3">
        <v>140.4</v>
      </c>
      <c r="D343" s="2"/>
    </row>
    <row r="344" spans="1:5" ht="12.75" x14ac:dyDescent="0.2">
      <c r="B344" s="3" t="s">
        <v>5</v>
      </c>
      <c r="C344" s="3">
        <v>136.30000000000001</v>
      </c>
      <c r="D344" s="2"/>
    </row>
    <row r="345" spans="1:5" ht="12.75" x14ac:dyDescent="0.2">
      <c r="B345" s="3" t="s">
        <v>6</v>
      </c>
      <c r="C345" s="3">
        <v>142.30000000000001</v>
      </c>
      <c r="D345" s="2"/>
    </row>
    <row r="346" spans="1:5" ht="12.75" x14ac:dyDescent="0.2">
      <c r="B346" s="3" t="s">
        <v>7</v>
      </c>
      <c r="C346" s="3">
        <v>120.4</v>
      </c>
      <c r="D346" s="2"/>
    </row>
    <row r="347" spans="1:5" ht="12.75" x14ac:dyDescent="0.2">
      <c r="B347" s="3" t="s">
        <v>15</v>
      </c>
      <c r="C347" s="3">
        <v>94.7</v>
      </c>
      <c r="D347" s="2"/>
    </row>
    <row r="348" spans="1:5" ht="12.75" x14ac:dyDescent="0.2">
      <c r="B348" s="3" t="s">
        <v>9</v>
      </c>
      <c r="C348" s="3">
        <v>82.2</v>
      </c>
      <c r="D348" s="2"/>
    </row>
    <row r="349" spans="1:5" ht="12.75" x14ac:dyDescent="0.2">
      <c r="A349" s="1">
        <v>1996</v>
      </c>
      <c r="D349" s="2">
        <f>AVERAGE(C350:C361)</f>
        <v>123.075</v>
      </c>
      <c r="E349" s="3">
        <f>MEDIAN(C350:C361)</f>
        <v>129.75</v>
      </c>
    </row>
    <row r="350" spans="1:5" ht="12.75" x14ac:dyDescent="0.2">
      <c r="B350" s="3" t="s">
        <v>10</v>
      </c>
      <c r="C350" s="3">
        <v>93.1</v>
      </c>
      <c r="D350" s="2"/>
    </row>
    <row r="351" spans="1:5" ht="12.75" x14ac:dyDescent="0.2">
      <c r="B351" s="3" t="s">
        <v>11</v>
      </c>
      <c r="C351" s="3">
        <v>111.5</v>
      </c>
      <c r="D351" s="2"/>
    </row>
    <row r="352" spans="1:5" ht="12.75" x14ac:dyDescent="0.2">
      <c r="B352" s="3" t="s">
        <v>12</v>
      </c>
      <c r="C352" s="3">
        <v>130.80000000000001</v>
      </c>
      <c r="D352" s="2"/>
    </row>
    <row r="353" spans="1:5" ht="12.75" x14ac:dyDescent="0.2">
      <c r="B353" s="3" t="s">
        <v>13</v>
      </c>
      <c r="C353" s="3">
        <v>128.69999999999999</v>
      </c>
      <c r="D353" s="2"/>
    </row>
    <row r="354" spans="1:5" ht="12.75" x14ac:dyDescent="0.2">
      <c r="B354" s="3" t="s">
        <v>14</v>
      </c>
      <c r="C354" s="3">
        <v>144.19999999999999</v>
      </c>
      <c r="D354" s="2"/>
    </row>
    <row r="355" spans="1:5" ht="12.75" x14ac:dyDescent="0.2">
      <c r="B355" s="3" t="s">
        <v>3</v>
      </c>
      <c r="C355" s="3">
        <v>137.5</v>
      </c>
      <c r="D355" s="2"/>
    </row>
    <row r="356" spans="1:5" ht="12.75" x14ac:dyDescent="0.2">
      <c r="B356" s="3" t="s">
        <v>4</v>
      </c>
      <c r="C356" s="3">
        <v>138</v>
      </c>
      <c r="D356" s="2"/>
    </row>
    <row r="357" spans="1:5" ht="12.75" x14ac:dyDescent="0.2">
      <c r="B357" s="3" t="s">
        <v>5</v>
      </c>
      <c r="C357" s="3">
        <v>143.9</v>
      </c>
      <c r="D357" s="2"/>
    </row>
    <row r="358" spans="1:5" ht="12.75" x14ac:dyDescent="0.2">
      <c r="B358" s="3" t="s">
        <v>6</v>
      </c>
      <c r="C358" s="3">
        <v>146.6</v>
      </c>
      <c r="D358" s="2"/>
    </row>
    <row r="359" spans="1:5" ht="12.75" x14ac:dyDescent="0.2">
      <c r="B359" s="3" t="s">
        <v>7</v>
      </c>
      <c r="C359" s="3">
        <v>116</v>
      </c>
      <c r="D359" s="2"/>
    </row>
    <row r="360" spans="1:5" ht="12.75" x14ac:dyDescent="0.2">
      <c r="B360" s="3" t="s">
        <v>15</v>
      </c>
      <c r="C360" s="3">
        <v>95.9</v>
      </c>
      <c r="D360" s="2"/>
    </row>
    <row r="361" spans="1:5" ht="12.75" x14ac:dyDescent="0.2">
      <c r="B361" s="3" t="s">
        <v>9</v>
      </c>
      <c r="C361" s="3">
        <v>90.7</v>
      </c>
      <c r="D361" s="2"/>
    </row>
    <row r="362" spans="1:5" ht="12.75" x14ac:dyDescent="0.2">
      <c r="A362" s="3">
        <v>1995</v>
      </c>
      <c r="D362" s="2">
        <f>AVERAGE(C363:C374)</f>
        <v>112.85000000000001</v>
      </c>
      <c r="E362" s="3">
        <f>MEDIAN(C363:C374)</f>
        <v>119.65</v>
      </c>
    </row>
    <row r="363" spans="1:5" ht="12.75" x14ac:dyDescent="0.2">
      <c r="A363" s="3"/>
      <c r="B363" s="3" t="s">
        <v>10</v>
      </c>
      <c r="C363" s="3">
        <v>92.8</v>
      </c>
      <c r="D363" s="2"/>
    </row>
    <row r="364" spans="1:5" ht="12.75" x14ac:dyDescent="0.2">
      <c r="A364" s="3"/>
      <c r="B364" s="3" t="s">
        <v>11</v>
      </c>
      <c r="C364" s="3">
        <v>107.2</v>
      </c>
      <c r="D364" s="2"/>
    </row>
    <row r="365" spans="1:5" ht="12.75" x14ac:dyDescent="0.2">
      <c r="A365" s="3"/>
      <c r="B365" s="3" t="s">
        <v>12</v>
      </c>
      <c r="C365" s="3">
        <v>126.2</v>
      </c>
      <c r="D365" s="2"/>
    </row>
    <row r="366" spans="1:5" ht="12.75" x14ac:dyDescent="0.2">
      <c r="A366" s="3"/>
      <c r="B366" s="3" t="s">
        <v>13</v>
      </c>
      <c r="C366" s="3">
        <v>122.4</v>
      </c>
      <c r="D366" s="2"/>
    </row>
    <row r="367" spans="1:5" ht="12.75" x14ac:dyDescent="0.2">
      <c r="A367" s="3"/>
      <c r="B367" s="3" t="s">
        <v>14</v>
      </c>
      <c r="C367" s="3">
        <v>135.80000000000001</v>
      </c>
      <c r="D367" s="2"/>
    </row>
    <row r="368" spans="1:5" ht="12.75" x14ac:dyDescent="0.2">
      <c r="A368" s="3"/>
      <c r="B368" s="3" t="s">
        <v>3</v>
      </c>
      <c r="C368" s="3">
        <v>129.1</v>
      </c>
      <c r="D368" s="2"/>
    </row>
    <row r="369" spans="1:5" ht="12.75" x14ac:dyDescent="0.2">
      <c r="A369" s="3"/>
      <c r="B369" s="3" t="s">
        <v>4</v>
      </c>
      <c r="C369" s="3">
        <v>123.4</v>
      </c>
      <c r="D369" s="2"/>
    </row>
    <row r="370" spans="1:5" ht="12.75" x14ac:dyDescent="0.2">
      <c r="B370" s="3" t="s">
        <v>5</v>
      </c>
      <c r="C370" s="3">
        <v>130.5</v>
      </c>
      <c r="D370" s="2"/>
    </row>
    <row r="371" spans="1:5" ht="12.75" x14ac:dyDescent="0.2">
      <c r="B371" s="3" t="s">
        <v>6</v>
      </c>
      <c r="C371" s="3">
        <v>116.9</v>
      </c>
      <c r="D371" s="2"/>
    </row>
    <row r="372" spans="1:5" ht="12.75" x14ac:dyDescent="0.2">
      <c r="B372" s="3" t="s">
        <v>7</v>
      </c>
      <c r="C372" s="3">
        <v>103.8</v>
      </c>
      <c r="D372" s="2"/>
    </row>
    <row r="373" spans="1:5" ht="12.75" x14ac:dyDescent="0.2">
      <c r="B373" s="3" t="s">
        <v>15</v>
      </c>
      <c r="C373" s="3">
        <v>81.599999999999994</v>
      </c>
      <c r="D373" s="2"/>
    </row>
    <row r="374" spans="1:5" ht="12.75" x14ac:dyDescent="0.2">
      <c r="B374" s="3" t="s">
        <v>9</v>
      </c>
      <c r="C374" s="3">
        <v>84.5</v>
      </c>
      <c r="D374" s="2"/>
    </row>
    <row r="375" spans="1:5" ht="12.75" x14ac:dyDescent="0.2">
      <c r="A375" s="1">
        <v>1994</v>
      </c>
      <c r="D375" s="2">
        <f>AVERAGE(C376:C387)</f>
        <v>121.41666666666667</v>
      </c>
      <c r="E375" s="3">
        <f>MEDIAN(C376:C387)</f>
        <v>130.35</v>
      </c>
    </row>
    <row r="376" spans="1:5" ht="12.75" x14ac:dyDescent="0.2">
      <c r="B376" s="3" t="s">
        <v>10</v>
      </c>
      <c r="C376" s="3">
        <v>98.5</v>
      </c>
      <c r="D376" s="2"/>
    </row>
    <row r="377" spans="1:5" ht="12.75" x14ac:dyDescent="0.2">
      <c r="B377" s="3" t="s">
        <v>11</v>
      </c>
      <c r="C377" s="3">
        <v>113.4</v>
      </c>
      <c r="D377" s="2"/>
    </row>
    <row r="378" spans="1:5" ht="12.75" x14ac:dyDescent="0.2">
      <c r="B378" s="3" t="s">
        <v>12</v>
      </c>
      <c r="C378" s="3">
        <v>130.6</v>
      </c>
      <c r="D378" s="2"/>
    </row>
    <row r="379" spans="1:5" ht="12.75" x14ac:dyDescent="0.2">
      <c r="B379" s="3" t="s">
        <v>13</v>
      </c>
      <c r="C379" s="3">
        <v>130.1</v>
      </c>
      <c r="D379" s="2"/>
    </row>
    <row r="380" spans="1:5" ht="12.75" x14ac:dyDescent="0.2">
      <c r="B380" s="3" t="s">
        <v>14</v>
      </c>
      <c r="C380" s="3">
        <v>139.80000000000001</v>
      </c>
      <c r="D380" s="2"/>
    </row>
    <row r="381" spans="1:5" ht="12.75" x14ac:dyDescent="0.2">
      <c r="B381" s="3" t="s">
        <v>3</v>
      </c>
      <c r="C381" s="3">
        <v>127.8</v>
      </c>
      <c r="D381" s="2"/>
    </row>
    <row r="382" spans="1:5" ht="12.75" x14ac:dyDescent="0.2">
      <c r="B382" s="3" t="s">
        <v>4</v>
      </c>
      <c r="C382" s="3">
        <v>136.4</v>
      </c>
      <c r="D382" s="2"/>
    </row>
    <row r="383" spans="1:5" ht="12.75" x14ac:dyDescent="0.2">
      <c r="B383" s="3" t="s">
        <v>5</v>
      </c>
      <c r="C383" s="3">
        <v>148.80000000000001</v>
      </c>
      <c r="D383" s="2"/>
    </row>
    <row r="384" spans="1:5" ht="12.75" x14ac:dyDescent="0.2">
      <c r="B384" s="3" t="s">
        <v>6</v>
      </c>
      <c r="C384" s="3">
        <v>137.6</v>
      </c>
      <c r="D384" s="2"/>
    </row>
    <row r="385" spans="1:5" ht="12.75" x14ac:dyDescent="0.2">
      <c r="B385" s="3" t="s">
        <v>7</v>
      </c>
      <c r="C385" s="3">
        <v>134.30000000000001</v>
      </c>
      <c r="D385" s="2"/>
    </row>
    <row r="386" spans="1:5" ht="12.75" x14ac:dyDescent="0.2">
      <c r="B386" s="3" t="s">
        <v>15</v>
      </c>
      <c r="C386" s="3">
        <v>83.5</v>
      </c>
      <c r="D386" s="2"/>
    </row>
    <row r="387" spans="1:5" ht="12.75" x14ac:dyDescent="0.2">
      <c r="B387" s="3" t="s">
        <v>9</v>
      </c>
      <c r="C387" s="3">
        <v>76.2</v>
      </c>
      <c r="D387" s="2"/>
    </row>
    <row r="388" spans="1:5" ht="12.75" x14ac:dyDescent="0.2">
      <c r="A388" s="1">
        <v>1993</v>
      </c>
      <c r="D388" s="2">
        <f>AVERAGE(C389:C400)</f>
        <v>107.30833333333332</v>
      </c>
      <c r="E388" s="3">
        <f>MEDIAN(C389:C400)</f>
        <v>116.55</v>
      </c>
    </row>
    <row r="389" spans="1:5" ht="12.75" x14ac:dyDescent="0.2">
      <c r="B389" s="3" t="s">
        <v>10</v>
      </c>
      <c r="C389" s="3">
        <v>98.7</v>
      </c>
      <c r="D389" s="2"/>
    </row>
    <row r="390" spans="1:5" ht="12.75" x14ac:dyDescent="0.2">
      <c r="B390" s="3" t="s">
        <v>11</v>
      </c>
      <c r="C390" s="3">
        <v>102.3</v>
      </c>
      <c r="D390" s="2"/>
    </row>
    <row r="391" spans="1:5" ht="12.75" x14ac:dyDescent="0.2">
      <c r="B391" s="3" t="s">
        <v>12</v>
      </c>
      <c r="C391" s="3">
        <v>123.3</v>
      </c>
      <c r="D391" s="2"/>
    </row>
    <row r="392" spans="1:5" ht="12.75" x14ac:dyDescent="0.2">
      <c r="B392" s="3" t="s">
        <v>13</v>
      </c>
      <c r="C392" s="3">
        <v>118.5</v>
      </c>
      <c r="D392" s="2"/>
    </row>
    <row r="393" spans="1:5" ht="12.75" x14ac:dyDescent="0.2">
      <c r="B393" s="3" t="s">
        <v>14</v>
      </c>
      <c r="C393" s="3">
        <v>121.8</v>
      </c>
      <c r="D393" s="2"/>
    </row>
    <row r="394" spans="1:5" ht="12.75" x14ac:dyDescent="0.2">
      <c r="B394" s="3" t="s">
        <v>3</v>
      </c>
      <c r="C394" s="3">
        <v>115.3</v>
      </c>
      <c r="D394" s="2"/>
    </row>
    <row r="395" spans="1:5" ht="12.75" x14ac:dyDescent="0.2">
      <c r="B395" s="3" t="s">
        <v>4</v>
      </c>
      <c r="C395" s="3">
        <v>128.5</v>
      </c>
      <c r="D395" s="2"/>
    </row>
    <row r="396" spans="1:5" ht="12.75" x14ac:dyDescent="0.2">
      <c r="B396" s="3" t="s">
        <v>5</v>
      </c>
      <c r="C396" s="3">
        <v>120.9</v>
      </c>
      <c r="D396" s="2"/>
    </row>
    <row r="397" spans="1:5" ht="12.75" x14ac:dyDescent="0.2">
      <c r="B397" s="3" t="s">
        <v>6</v>
      </c>
      <c r="C397" s="3">
        <v>117.8</v>
      </c>
      <c r="D397" s="2"/>
    </row>
    <row r="398" spans="1:5" ht="12.75" x14ac:dyDescent="0.2">
      <c r="B398" s="3" t="s">
        <v>7</v>
      </c>
      <c r="C398" s="3">
        <v>95.5</v>
      </c>
      <c r="D398" s="2"/>
    </row>
    <row r="399" spans="1:5" ht="12.75" x14ac:dyDescent="0.2">
      <c r="B399" s="3" t="s">
        <v>15</v>
      </c>
      <c r="C399" s="3">
        <v>74.599999999999994</v>
      </c>
      <c r="D399" s="2"/>
    </row>
    <row r="400" spans="1:5" ht="12.75" x14ac:dyDescent="0.2">
      <c r="B400" s="3" t="s">
        <v>9</v>
      </c>
      <c r="C400" s="3">
        <v>70.5</v>
      </c>
      <c r="D400" s="2"/>
    </row>
    <row r="401" spans="1:5" ht="12.75" x14ac:dyDescent="0.2">
      <c r="A401" s="1">
        <v>1992</v>
      </c>
      <c r="D401" s="2">
        <f>AVERAGE(C402:C413)</f>
        <v>99.966666666666654</v>
      </c>
      <c r="E401" s="3">
        <f>MEDIAN(C402:C413)</f>
        <v>106.9</v>
      </c>
    </row>
    <row r="402" spans="1:5" ht="12.75" x14ac:dyDescent="0.2">
      <c r="B402" s="3" t="s">
        <v>10</v>
      </c>
      <c r="C402" s="3">
        <v>78.599999999999994</v>
      </c>
      <c r="D402" s="2"/>
    </row>
    <row r="403" spans="1:5" ht="12.75" x14ac:dyDescent="0.2">
      <c r="B403" s="3" t="s">
        <v>11</v>
      </c>
      <c r="C403" s="3">
        <v>84.5</v>
      </c>
      <c r="D403" s="2"/>
    </row>
    <row r="404" spans="1:5" ht="12.75" x14ac:dyDescent="0.2">
      <c r="B404" s="3" t="s">
        <v>12</v>
      </c>
      <c r="C404" s="3">
        <v>111.8</v>
      </c>
      <c r="D404" s="2"/>
    </row>
    <row r="405" spans="1:5" ht="12.75" x14ac:dyDescent="0.2">
      <c r="B405" s="3" t="s">
        <v>13</v>
      </c>
      <c r="C405" s="3">
        <v>106</v>
      </c>
      <c r="D405" s="2"/>
    </row>
    <row r="406" spans="1:5" ht="12.75" x14ac:dyDescent="0.2">
      <c r="B406" s="3" t="s">
        <v>14</v>
      </c>
      <c r="C406" s="3">
        <v>109.9</v>
      </c>
      <c r="D406" s="2"/>
    </row>
    <row r="407" spans="1:5" ht="12.75" x14ac:dyDescent="0.2">
      <c r="B407" s="3" t="s">
        <v>3</v>
      </c>
      <c r="C407" s="3">
        <v>106.2</v>
      </c>
      <c r="D407" s="2"/>
    </row>
    <row r="408" spans="1:5" ht="12.75" x14ac:dyDescent="0.2">
      <c r="B408" s="3" t="s">
        <v>4</v>
      </c>
      <c r="C408" s="3">
        <v>117.8</v>
      </c>
      <c r="D408" s="2"/>
    </row>
    <row r="409" spans="1:5" ht="12.75" x14ac:dyDescent="0.2">
      <c r="B409" s="3" t="s">
        <v>5</v>
      </c>
      <c r="C409" s="3">
        <v>115.2</v>
      </c>
      <c r="D409" s="2"/>
    </row>
    <row r="410" spans="1:5" ht="12.75" x14ac:dyDescent="0.2">
      <c r="B410" s="3" t="s">
        <v>6</v>
      </c>
      <c r="C410" s="3">
        <v>107.6</v>
      </c>
      <c r="D410" s="2"/>
    </row>
    <row r="411" spans="1:5" ht="12.75" x14ac:dyDescent="0.2">
      <c r="B411" s="3" t="s">
        <v>7</v>
      </c>
      <c r="C411" s="3">
        <v>111.6</v>
      </c>
      <c r="D411" s="2"/>
    </row>
    <row r="412" spans="1:5" ht="12.75" x14ac:dyDescent="0.2">
      <c r="B412" s="3" t="s">
        <v>15</v>
      </c>
      <c r="C412" s="3">
        <v>78.8</v>
      </c>
      <c r="D412" s="2"/>
    </row>
    <row r="413" spans="1:5" ht="12.75" x14ac:dyDescent="0.2">
      <c r="B413" s="3" t="s">
        <v>9</v>
      </c>
      <c r="C413" s="3">
        <v>71.599999999999994</v>
      </c>
      <c r="D413" s="2"/>
    </row>
    <row r="414" spans="1:5" ht="12.75" x14ac:dyDescent="0.2">
      <c r="A414" s="3">
        <v>1991</v>
      </c>
      <c r="D414" s="2">
        <f>AVERAGE(C415:C426)</f>
        <v>84.5</v>
      </c>
      <c r="E414" s="3">
        <f>MEDIAN(C415:C426)</f>
        <v>90.65</v>
      </c>
    </row>
    <row r="415" spans="1:5" ht="12.75" x14ac:dyDescent="0.2">
      <c r="B415" s="3" t="s">
        <v>10</v>
      </c>
      <c r="C415" s="3">
        <v>65.599999999999994</v>
      </c>
      <c r="D415" s="2"/>
    </row>
    <row r="416" spans="1:5" ht="12.75" x14ac:dyDescent="0.2">
      <c r="B416" s="3" t="s">
        <v>11</v>
      </c>
      <c r="C416" s="3">
        <v>75.599999999999994</v>
      </c>
      <c r="D416" s="2"/>
    </row>
    <row r="417" spans="1:5" ht="12.75" x14ac:dyDescent="0.2">
      <c r="B417" s="3" t="s">
        <v>12</v>
      </c>
      <c r="C417" s="3">
        <v>101.8</v>
      </c>
      <c r="D417" s="2"/>
    </row>
    <row r="418" spans="1:5" ht="12.75" x14ac:dyDescent="0.2">
      <c r="B418" s="3" t="s">
        <v>13</v>
      </c>
      <c r="C418" s="3">
        <v>86.6</v>
      </c>
      <c r="D418" s="2"/>
    </row>
    <row r="419" spans="1:5" ht="12.75" x14ac:dyDescent="0.2">
      <c r="B419" s="3" t="s">
        <v>14</v>
      </c>
      <c r="C419" s="3">
        <v>94.7</v>
      </c>
      <c r="D419" s="2"/>
    </row>
    <row r="420" spans="1:5" ht="12.75" x14ac:dyDescent="0.2">
      <c r="B420" s="3" t="s">
        <v>3</v>
      </c>
      <c r="C420" s="3">
        <v>103.5</v>
      </c>
      <c r="D420" s="2"/>
    </row>
    <row r="421" spans="1:5" ht="12.75" x14ac:dyDescent="0.2">
      <c r="B421" s="3" t="s">
        <v>4</v>
      </c>
      <c r="C421" s="3">
        <v>103.4</v>
      </c>
      <c r="D421" s="2"/>
    </row>
    <row r="422" spans="1:5" ht="12.75" x14ac:dyDescent="0.2">
      <c r="B422" s="3" t="s">
        <v>5</v>
      </c>
      <c r="C422" s="3">
        <v>97.7</v>
      </c>
      <c r="D422" s="2"/>
    </row>
    <row r="423" spans="1:5" ht="12.75" x14ac:dyDescent="0.2">
      <c r="B423" s="3" t="s">
        <v>6</v>
      </c>
      <c r="C423" s="3">
        <v>99.7</v>
      </c>
      <c r="D423" s="2"/>
    </row>
    <row r="424" spans="1:5" ht="12.75" x14ac:dyDescent="0.2">
      <c r="B424" s="3" t="s">
        <v>7</v>
      </c>
      <c r="C424" s="3">
        <v>73.8</v>
      </c>
      <c r="D424" s="2"/>
    </row>
    <row r="425" spans="1:5" ht="12.75" x14ac:dyDescent="0.2">
      <c r="B425" s="3" t="s">
        <v>15</v>
      </c>
      <c r="C425" s="3">
        <v>59.1</v>
      </c>
      <c r="D425" s="2"/>
    </row>
    <row r="426" spans="1:5" ht="12.75" x14ac:dyDescent="0.2">
      <c r="B426" s="3" t="s">
        <v>9</v>
      </c>
      <c r="C426" s="3">
        <v>52.5</v>
      </c>
      <c r="D426" s="2"/>
    </row>
    <row r="427" spans="1:5" ht="12.75" x14ac:dyDescent="0.2">
      <c r="A427" s="3">
        <v>1990</v>
      </c>
      <c r="D427" s="2">
        <f>AVERAGE(C428:C439)</f>
        <v>99.38333333333334</v>
      </c>
      <c r="E427" s="3">
        <f>MEDIAN(C428:C439)</f>
        <v>101</v>
      </c>
    </row>
    <row r="428" spans="1:5" ht="12.75" x14ac:dyDescent="0.2">
      <c r="B428" s="3" t="s">
        <v>10</v>
      </c>
      <c r="C428" s="3">
        <v>57.4</v>
      </c>
      <c r="D428" s="2"/>
    </row>
    <row r="429" spans="1:5" ht="12.75" x14ac:dyDescent="0.2">
      <c r="B429" s="3" t="s">
        <v>11</v>
      </c>
      <c r="C429" s="3">
        <v>81.400000000000006</v>
      </c>
      <c r="D429" s="2"/>
    </row>
    <row r="430" spans="1:5" ht="12.75" x14ac:dyDescent="0.2">
      <c r="B430" s="3" t="s">
        <v>12</v>
      </c>
      <c r="C430" s="3">
        <v>94.2</v>
      </c>
      <c r="D430" s="2"/>
    </row>
    <row r="431" spans="1:5" ht="12.75" x14ac:dyDescent="0.2">
      <c r="B431" s="3" t="s">
        <v>13</v>
      </c>
      <c r="C431" s="3">
        <v>93.1</v>
      </c>
      <c r="D431" s="2"/>
    </row>
    <row r="432" spans="1:5" ht="12.75" x14ac:dyDescent="0.2">
      <c r="B432" s="3" t="s">
        <v>14</v>
      </c>
      <c r="C432" s="3">
        <v>102.8</v>
      </c>
      <c r="D432" s="2"/>
    </row>
    <row r="433" spans="1:5" ht="12.75" x14ac:dyDescent="0.2">
      <c r="B433" s="3" t="s">
        <v>3</v>
      </c>
      <c r="C433" s="3">
        <v>111.2</v>
      </c>
      <c r="D433" s="2"/>
    </row>
    <row r="434" spans="1:5" ht="12.75" x14ac:dyDescent="0.2">
      <c r="B434" s="3" t="s">
        <v>4</v>
      </c>
      <c r="C434" s="3">
        <v>117.8</v>
      </c>
      <c r="D434" s="2"/>
    </row>
    <row r="435" spans="1:5" ht="12.75" x14ac:dyDescent="0.2">
      <c r="B435" s="3" t="s">
        <v>5</v>
      </c>
      <c r="C435" s="3">
        <v>121.1</v>
      </c>
      <c r="D435" s="2"/>
    </row>
    <row r="436" spans="1:5" ht="12.75" x14ac:dyDescent="0.2">
      <c r="B436" s="3" t="s">
        <v>6</v>
      </c>
      <c r="C436" s="3">
        <v>119</v>
      </c>
      <c r="D436" s="2"/>
    </row>
    <row r="437" spans="1:5" ht="12.75" x14ac:dyDescent="0.2">
      <c r="B437" s="3" t="s">
        <v>7</v>
      </c>
      <c r="C437" s="3">
        <v>108.5</v>
      </c>
      <c r="D437" s="2"/>
    </row>
    <row r="438" spans="1:5" ht="12.75" x14ac:dyDescent="0.2">
      <c r="B438" s="3" t="s">
        <v>15</v>
      </c>
      <c r="C438" s="3">
        <v>86.9</v>
      </c>
      <c r="D438" s="2"/>
    </row>
    <row r="439" spans="1:5" ht="12.75" x14ac:dyDescent="0.2">
      <c r="B439" s="3" t="s">
        <v>9</v>
      </c>
      <c r="C439" s="3">
        <v>99.2</v>
      </c>
      <c r="D439" s="2"/>
    </row>
    <row r="440" spans="1:5" ht="12.75" x14ac:dyDescent="0.2">
      <c r="A440" s="3">
        <v>1989</v>
      </c>
      <c r="D440" s="2">
        <f>AVERAGE(C441:C452)</f>
        <v>114.675</v>
      </c>
      <c r="E440" s="3">
        <f>MEDIAN(C441:C452)</f>
        <v>120.1</v>
      </c>
    </row>
    <row r="441" spans="1:5" ht="12.75" x14ac:dyDescent="0.2">
      <c r="B441" s="3" t="s">
        <v>10</v>
      </c>
      <c r="C441" s="3">
        <v>75</v>
      </c>
      <c r="D441" s="2"/>
    </row>
    <row r="442" spans="1:5" ht="12.75" x14ac:dyDescent="0.2">
      <c r="B442" s="3" t="s">
        <v>11</v>
      </c>
      <c r="C442" s="3">
        <v>96.6</v>
      </c>
      <c r="D442" s="2"/>
    </row>
    <row r="443" spans="1:5" ht="12.75" x14ac:dyDescent="0.2">
      <c r="B443" s="3" t="s">
        <v>12</v>
      </c>
      <c r="C443" s="3">
        <v>130.1</v>
      </c>
      <c r="D443" s="2"/>
    </row>
    <row r="444" spans="1:5" ht="12.75" x14ac:dyDescent="0.2">
      <c r="B444" s="3" t="s">
        <v>13</v>
      </c>
      <c r="C444" s="3">
        <v>109.3</v>
      </c>
      <c r="D444" s="2"/>
    </row>
    <row r="445" spans="1:5" ht="12.75" x14ac:dyDescent="0.2">
      <c r="B445" s="3" t="s">
        <v>14</v>
      </c>
      <c r="C445" s="3">
        <v>122.4</v>
      </c>
      <c r="D445" s="2"/>
    </row>
    <row r="446" spans="1:5" ht="12.75" x14ac:dyDescent="0.2">
      <c r="B446" s="3" t="s">
        <v>3</v>
      </c>
      <c r="C446" s="3">
        <v>134.69999999999999</v>
      </c>
      <c r="D446" s="2"/>
    </row>
    <row r="447" spans="1:5" ht="12.75" x14ac:dyDescent="0.2">
      <c r="B447" s="3" t="s">
        <v>4</v>
      </c>
      <c r="C447" s="3">
        <v>143.19999999999999</v>
      </c>
      <c r="D447" s="2"/>
    </row>
    <row r="448" spans="1:5" ht="12.75" x14ac:dyDescent="0.2">
      <c r="B448" s="3" t="s">
        <v>5</v>
      </c>
      <c r="C448" s="3">
        <v>131.69999999999999</v>
      </c>
      <c r="D448" s="2"/>
    </row>
    <row r="449" spans="1:5" ht="12.75" x14ac:dyDescent="0.2">
      <c r="B449" s="3" t="s">
        <v>6</v>
      </c>
      <c r="C449" s="3">
        <v>129.4</v>
      </c>
      <c r="D449" s="2"/>
    </row>
    <row r="450" spans="1:5" ht="12.75" x14ac:dyDescent="0.2">
      <c r="B450" s="3" t="s">
        <v>7</v>
      </c>
      <c r="C450" s="3">
        <v>117.8</v>
      </c>
      <c r="D450" s="2"/>
    </row>
    <row r="451" spans="1:5" ht="12.75" x14ac:dyDescent="0.2">
      <c r="B451" s="3" t="s">
        <v>15</v>
      </c>
      <c r="C451" s="3">
        <v>85.8</v>
      </c>
      <c r="D451" s="2"/>
    </row>
    <row r="452" spans="1:5" ht="12.75" x14ac:dyDescent="0.2">
      <c r="B452" s="3" t="s">
        <v>9</v>
      </c>
      <c r="C452" s="3">
        <v>100.1</v>
      </c>
      <c r="D452" s="2"/>
    </row>
    <row r="453" spans="1:5" ht="12.75" x14ac:dyDescent="0.2">
      <c r="A453" s="3">
        <v>1988</v>
      </c>
      <c r="D453" s="2"/>
    </row>
    <row r="454" spans="1:5" ht="12.75" x14ac:dyDescent="0.2">
      <c r="B454" s="3" t="s">
        <v>10</v>
      </c>
      <c r="C454" s="3">
        <v>94.2</v>
      </c>
      <c r="D454" s="2">
        <f>AVERAGE(C454:C465)</f>
        <v>124.00000000000001</v>
      </c>
      <c r="E454" s="3">
        <f>MEDIAN(C454:C465)</f>
        <v>133.1</v>
      </c>
    </row>
    <row r="455" spans="1:5" ht="12.75" x14ac:dyDescent="0.2">
      <c r="B455" s="3" t="s">
        <v>11</v>
      </c>
      <c r="C455" s="3">
        <v>113</v>
      </c>
      <c r="D455" s="2"/>
    </row>
    <row r="456" spans="1:5" ht="12.75" x14ac:dyDescent="0.2">
      <c r="B456" s="3" t="s">
        <v>12</v>
      </c>
      <c r="C456" s="3">
        <v>135.1</v>
      </c>
      <c r="D456" s="2"/>
    </row>
    <row r="457" spans="1:5" ht="12.75" x14ac:dyDescent="0.2">
      <c r="B457" s="3" t="s">
        <v>13</v>
      </c>
      <c r="C457" s="3">
        <v>131.1</v>
      </c>
      <c r="D457" s="2"/>
    </row>
    <row r="458" spans="1:5" ht="12.75" x14ac:dyDescent="0.2">
      <c r="B458" s="3" t="s">
        <v>14</v>
      </c>
      <c r="C458" s="3">
        <v>136.80000000000001</v>
      </c>
      <c r="D458" s="2"/>
    </row>
    <row r="459" spans="1:5" ht="12.75" x14ac:dyDescent="0.2">
      <c r="B459" s="3" t="s">
        <v>3</v>
      </c>
      <c r="C459" s="3">
        <v>137</v>
      </c>
      <c r="D459" s="2"/>
    </row>
    <row r="460" spans="1:5" ht="12.75" x14ac:dyDescent="0.2">
      <c r="B460" s="3" t="s">
        <v>4</v>
      </c>
      <c r="C460" s="3">
        <v>150.19999999999999</v>
      </c>
      <c r="D460" s="2"/>
    </row>
    <row r="461" spans="1:5" ht="12.75" x14ac:dyDescent="0.2">
      <c r="B461" s="3" t="s">
        <v>5</v>
      </c>
      <c r="C461" s="3">
        <v>140.19999999999999</v>
      </c>
      <c r="D461" s="2"/>
    </row>
    <row r="462" spans="1:5" ht="12.75" x14ac:dyDescent="0.2">
      <c r="B462" s="3" t="s">
        <v>6</v>
      </c>
      <c r="C462" s="3">
        <v>153.19999999999999</v>
      </c>
      <c r="D462" s="2"/>
    </row>
    <row r="463" spans="1:5" ht="12.75" x14ac:dyDescent="0.2">
      <c r="B463" s="3" t="s">
        <v>7</v>
      </c>
      <c r="C463" s="3">
        <v>128.80000000000001</v>
      </c>
      <c r="D463" s="2"/>
    </row>
    <row r="464" spans="1:5" ht="12.75" x14ac:dyDescent="0.2">
      <c r="B464" s="3" t="s">
        <v>15</v>
      </c>
      <c r="C464" s="3">
        <v>90.2</v>
      </c>
      <c r="D464" s="2"/>
    </row>
    <row r="465" spans="1:5" ht="12.75" x14ac:dyDescent="0.2">
      <c r="B465" s="3" t="s">
        <v>9</v>
      </c>
      <c r="C465" s="3">
        <v>78.2</v>
      </c>
      <c r="D465" s="2"/>
    </row>
    <row r="466" spans="1:5" ht="12.75" x14ac:dyDescent="0.2">
      <c r="A466" s="3">
        <v>1987</v>
      </c>
      <c r="D466" s="2">
        <f>AVERAGE(C467:C478)</f>
        <v>135.04999999999998</v>
      </c>
      <c r="E466" s="3">
        <f>MEDIAN(C467:C478)</f>
        <v>142.39999999999998</v>
      </c>
    </row>
    <row r="467" spans="1:5" ht="12.75" x14ac:dyDescent="0.2">
      <c r="B467" s="3" t="s">
        <v>10</v>
      </c>
      <c r="C467" s="3">
        <v>85.4</v>
      </c>
      <c r="D467" s="2"/>
    </row>
    <row r="468" spans="1:5" ht="12.75" x14ac:dyDescent="0.2">
      <c r="B468" s="3" t="s">
        <v>11</v>
      </c>
      <c r="C468" s="3">
        <v>118.8</v>
      </c>
      <c r="D468" s="2"/>
    </row>
    <row r="469" spans="1:5" ht="12.75" x14ac:dyDescent="0.2">
      <c r="B469" s="3" t="s">
        <v>12</v>
      </c>
      <c r="C469" s="3">
        <v>139.1</v>
      </c>
      <c r="D469" s="2"/>
    </row>
    <row r="470" spans="1:5" ht="12.75" x14ac:dyDescent="0.2">
      <c r="B470" s="3" t="s">
        <v>13</v>
      </c>
      <c r="C470" s="3">
        <v>152</v>
      </c>
      <c r="D470" s="2"/>
    </row>
    <row r="471" spans="1:5" ht="12.75" x14ac:dyDescent="0.2">
      <c r="B471" s="3" t="s">
        <v>14</v>
      </c>
      <c r="C471" s="3">
        <v>143.6</v>
      </c>
      <c r="D471" s="2"/>
    </row>
    <row r="472" spans="1:5" ht="12.75" x14ac:dyDescent="0.2">
      <c r="B472" s="3" t="s">
        <v>3</v>
      </c>
      <c r="C472" s="3">
        <v>152.4</v>
      </c>
      <c r="D472" s="2"/>
    </row>
    <row r="473" spans="1:5" ht="12.75" x14ac:dyDescent="0.2">
      <c r="B473" s="3" t="s">
        <v>4</v>
      </c>
      <c r="C473" s="3">
        <v>162.9</v>
      </c>
      <c r="D473" s="2"/>
    </row>
    <row r="474" spans="1:5" ht="12.75" x14ac:dyDescent="0.2">
      <c r="B474" s="3" t="s">
        <v>5</v>
      </c>
      <c r="C474" s="3">
        <v>158</v>
      </c>
      <c r="D474" s="2"/>
    </row>
    <row r="475" spans="1:5" ht="12.75" x14ac:dyDescent="0.2">
      <c r="B475" s="3" t="s">
        <v>6</v>
      </c>
      <c r="C475" s="3">
        <v>159.30000000000001</v>
      </c>
      <c r="D475" s="2"/>
    </row>
    <row r="476" spans="1:5" ht="12.75" x14ac:dyDescent="0.2">
      <c r="B476" s="3" t="s">
        <v>7</v>
      </c>
      <c r="C476" s="3">
        <v>141.19999999999999</v>
      </c>
      <c r="D476" s="2"/>
    </row>
    <row r="477" spans="1:5" ht="12.75" x14ac:dyDescent="0.2">
      <c r="B477" s="3" t="s">
        <v>15</v>
      </c>
      <c r="C477" s="3">
        <v>102.8</v>
      </c>
      <c r="D477" s="2"/>
    </row>
    <row r="478" spans="1:5" ht="12.75" x14ac:dyDescent="0.2">
      <c r="B478" s="3" t="s">
        <v>9</v>
      </c>
      <c r="C478" s="3">
        <v>105.1</v>
      </c>
      <c r="D478" s="2"/>
    </row>
    <row r="479" spans="1:5" ht="12.75" x14ac:dyDescent="0.2">
      <c r="A479" s="3">
        <v>1986</v>
      </c>
      <c r="D479" s="2">
        <f>AVERAGE(C480:C491)</f>
        <v>150.44999999999999</v>
      </c>
      <c r="E479" s="3">
        <f>MEDIAN(C480:C491)</f>
        <v>154.4</v>
      </c>
    </row>
    <row r="480" spans="1:5" ht="12.75" x14ac:dyDescent="0.2">
      <c r="B480" s="3" t="s">
        <v>10</v>
      </c>
      <c r="C480" s="3">
        <v>113</v>
      </c>
      <c r="D480" s="2"/>
    </row>
    <row r="481" spans="1:5" ht="12.75" x14ac:dyDescent="0.2">
      <c r="B481" s="3" t="s">
        <v>11</v>
      </c>
      <c r="C481" s="3">
        <v>115.6</v>
      </c>
      <c r="D481" s="2"/>
    </row>
    <row r="482" spans="1:5" ht="12.75" x14ac:dyDescent="0.2">
      <c r="B482" s="3" t="s">
        <v>12</v>
      </c>
      <c r="C482" s="3">
        <v>154.80000000000001</v>
      </c>
      <c r="D482" s="2"/>
    </row>
    <row r="483" spans="1:5" ht="12.75" x14ac:dyDescent="0.2">
      <c r="B483" s="3" t="s">
        <v>13</v>
      </c>
      <c r="C483" s="3">
        <v>154</v>
      </c>
      <c r="D483" s="2"/>
    </row>
    <row r="484" spans="1:5" ht="12.75" x14ac:dyDescent="0.2">
      <c r="B484" s="3" t="s">
        <v>14</v>
      </c>
      <c r="C484" s="3">
        <v>163.80000000000001</v>
      </c>
      <c r="D484" s="2"/>
    </row>
    <row r="485" spans="1:5" ht="12.75" x14ac:dyDescent="0.2">
      <c r="B485" s="3" t="s">
        <v>3</v>
      </c>
      <c r="C485" s="3">
        <v>172</v>
      </c>
      <c r="D485" s="2"/>
    </row>
    <row r="486" spans="1:5" ht="12.75" x14ac:dyDescent="0.2">
      <c r="B486" s="3" t="s">
        <v>4</v>
      </c>
      <c r="C486" s="3">
        <v>183.6</v>
      </c>
      <c r="D486" s="2"/>
    </row>
    <row r="487" spans="1:5" ht="12.75" x14ac:dyDescent="0.2">
      <c r="B487" s="3" t="s">
        <v>5</v>
      </c>
      <c r="C487" s="3">
        <v>186.6</v>
      </c>
      <c r="D487" s="2"/>
    </row>
    <row r="488" spans="1:5" ht="12.75" x14ac:dyDescent="0.2">
      <c r="B488" s="3" t="s">
        <v>6</v>
      </c>
      <c r="C488" s="3">
        <v>188.2</v>
      </c>
      <c r="D488" s="2"/>
    </row>
    <row r="489" spans="1:5" ht="12.75" x14ac:dyDescent="0.2">
      <c r="B489" s="3" t="s">
        <v>7</v>
      </c>
      <c r="C489" s="3">
        <v>151</v>
      </c>
      <c r="D489" s="2"/>
    </row>
    <row r="490" spans="1:5" ht="12.75" x14ac:dyDescent="0.2">
      <c r="B490" s="3" t="s">
        <v>15</v>
      </c>
      <c r="C490" s="3">
        <v>107.2</v>
      </c>
      <c r="D490" s="2"/>
    </row>
    <row r="491" spans="1:5" ht="12.75" x14ac:dyDescent="0.2">
      <c r="B491" s="3" t="s">
        <v>9</v>
      </c>
      <c r="C491" s="3">
        <v>115.6</v>
      </c>
      <c r="D491" s="2"/>
    </row>
    <row r="492" spans="1:5" ht="12.75" x14ac:dyDescent="0.2">
      <c r="A492" s="3">
        <v>1985</v>
      </c>
      <c r="D492" s="2">
        <f>AVERAGE(C493:C504)</f>
        <v>145.14166666666668</v>
      </c>
      <c r="E492" s="3">
        <f>MEDIAN(C493:C504)</f>
        <v>154.19999999999999</v>
      </c>
    </row>
    <row r="493" spans="1:5" ht="12.75" x14ac:dyDescent="0.2">
      <c r="B493" s="3" t="s">
        <v>10</v>
      </c>
      <c r="C493" s="3">
        <v>120.5</v>
      </c>
      <c r="D493" s="2"/>
    </row>
    <row r="494" spans="1:5" ht="12.75" x14ac:dyDescent="0.2">
      <c r="B494" s="3" t="s">
        <v>11</v>
      </c>
      <c r="C494" s="3">
        <v>124.1</v>
      </c>
      <c r="D494" s="2"/>
    </row>
    <row r="495" spans="1:5" ht="12.75" x14ac:dyDescent="0.2">
      <c r="B495" s="3" t="s">
        <v>12</v>
      </c>
      <c r="C495" s="3">
        <v>173</v>
      </c>
      <c r="D495" s="2"/>
    </row>
    <row r="496" spans="1:5" ht="12.75" x14ac:dyDescent="0.2">
      <c r="B496" s="3" t="s">
        <v>13</v>
      </c>
      <c r="C496" s="3">
        <v>147.69999999999999</v>
      </c>
      <c r="D496" s="2"/>
    </row>
    <row r="497" spans="1:5" ht="12.75" x14ac:dyDescent="0.2">
      <c r="B497" s="3" t="s">
        <v>14</v>
      </c>
      <c r="C497" s="3">
        <v>160.69999999999999</v>
      </c>
      <c r="D497" s="2"/>
    </row>
    <row r="498" spans="1:5" ht="12.75" x14ac:dyDescent="0.2">
      <c r="B498" s="3" t="s">
        <v>3</v>
      </c>
      <c r="C498" s="3">
        <v>160.69999999999999</v>
      </c>
      <c r="D498" s="2"/>
    </row>
    <row r="499" spans="1:5" ht="12.75" x14ac:dyDescent="0.2">
      <c r="B499" s="3" t="s">
        <v>4</v>
      </c>
      <c r="C499" s="3">
        <v>163.19999999999999</v>
      </c>
      <c r="D499" s="2"/>
    </row>
    <row r="500" spans="1:5" ht="12.75" x14ac:dyDescent="0.2">
      <c r="B500" s="3" t="s">
        <v>5</v>
      </c>
      <c r="C500" s="3">
        <v>170.2</v>
      </c>
      <c r="D500" s="2"/>
    </row>
    <row r="501" spans="1:5" ht="12.75" x14ac:dyDescent="0.2">
      <c r="B501" s="3" t="s">
        <v>6</v>
      </c>
      <c r="C501" s="3">
        <v>175.8</v>
      </c>
      <c r="D501" s="2"/>
    </row>
    <row r="502" spans="1:5" ht="12.75" x14ac:dyDescent="0.2">
      <c r="B502" s="3" t="s">
        <v>7</v>
      </c>
      <c r="C502" s="3">
        <v>145</v>
      </c>
      <c r="D502" s="2"/>
    </row>
    <row r="503" spans="1:5" ht="12.75" x14ac:dyDescent="0.2">
      <c r="B503" s="3" t="s">
        <v>15</v>
      </c>
      <c r="C503" s="3">
        <v>95.4</v>
      </c>
      <c r="D503" s="2"/>
    </row>
    <row r="504" spans="1:5" ht="12.75" x14ac:dyDescent="0.2">
      <c r="B504" s="3" t="s">
        <v>9</v>
      </c>
      <c r="C504" s="3">
        <v>105.4</v>
      </c>
      <c r="D504" s="2"/>
    </row>
    <row r="505" spans="1:5" ht="12.75" x14ac:dyDescent="0.2">
      <c r="A505" s="3">
        <v>1984</v>
      </c>
      <c r="D505" s="2">
        <f>AVERAGE(C506:C517)</f>
        <v>145.78333333333333</v>
      </c>
      <c r="E505" s="3">
        <f>MEDIAN(C506:C517)</f>
        <v>147.94999999999999</v>
      </c>
    </row>
    <row r="506" spans="1:5" ht="12.75" x14ac:dyDescent="0.2">
      <c r="B506" s="3" t="s">
        <v>10</v>
      </c>
      <c r="C506" s="3">
        <v>98.9</v>
      </c>
      <c r="D506" s="2"/>
    </row>
    <row r="507" spans="1:5" ht="12.75" x14ac:dyDescent="0.2">
      <c r="B507" s="3" t="s">
        <v>11</v>
      </c>
      <c r="C507" s="3">
        <v>126.2</v>
      </c>
      <c r="D507" s="2"/>
    </row>
    <row r="508" spans="1:5" ht="12.75" x14ac:dyDescent="0.2">
      <c r="B508" s="3" t="s">
        <v>12</v>
      </c>
      <c r="C508" s="3">
        <v>152.30000000000001</v>
      </c>
      <c r="D508" s="2"/>
    </row>
    <row r="509" spans="1:5" ht="12.75" x14ac:dyDescent="0.2">
      <c r="B509" s="3" t="s">
        <v>13</v>
      </c>
      <c r="C509" s="3">
        <v>148.5</v>
      </c>
      <c r="D509" s="2"/>
    </row>
    <row r="510" spans="1:5" ht="12.75" x14ac:dyDescent="0.2">
      <c r="B510" s="3" t="s">
        <v>14</v>
      </c>
      <c r="C510" s="3">
        <v>147.4</v>
      </c>
      <c r="D510" s="2"/>
    </row>
    <row r="511" spans="1:5" ht="12.75" x14ac:dyDescent="0.2">
      <c r="B511" s="3" t="s">
        <v>3</v>
      </c>
      <c r="C511" s="3">
        <v>162.1</v>
      </c>
      <c r="D511" s="2"/>
    </row>
    <row r="512" spans="1:5" ht="12.75" x14ac:dyDescent="0.2">
      <c r="B512" s="3" t="s">
        <v>4</v>
      </c>
      <c r="C512" s="3">
        <v>184</v>
      </c>
      <c r="D512" s="2"/>
    </row>
    <row r="513" spans="1:5" ht="12.75" x14ac:dyDescent="0.2">
      <c r="B513" s="3" t="s">
        <v>5</v>
      </c>
      <c r="C513" s="3">
        <v>180.7</v>
      </c>
      <c r="D513" s="2"/>
    </row>
    <row r="514" spans="1:5" ht="12.75" x14ac:dyDescent="0.2">
      <c r="B514" s="3" t="s">
        <v>6</v>
      </c>
      <c r="C514" s="3">
        <v>172.7</v>
      </c>
      <c r="D514" s="2"/>
    </row>
    <row r="515" spans="1:5" ht="12.75" x14ac:dyDescent="0.2">
      <c r="B515" s="3" t="s">
        <v>7</v>
      </c>
      <c r="C515" s="3">
        <v>137.5</v>
      </c>
      <c r="D515" s="2"/>
    </row>
    <row r="516" spans="1:5" ht="12.75" x14ac:dyDescent="0.2">
      <c r="B516" s="3" t="s">
        <v>15</v>
      </c>
      <c r="C516" s="3">
        <v>130</v>
      </c>
      <c r="D516" s="2"/>
    </row>
    <row r="517" spans="1:5" ht="12.75" x14ac:dyDescent="0.2">
      <c r="B517" s="3" t="s">
        <v>9</v>
      </c>
      <c r="C517" s="3">
        <v>109.1</v>
      </c>
      <c r="D517" s="2"/>
    </row>
    <row r="518" spans="1:5" ht="12.75" x14ac:dyDescent="0.2">
      <c r="A518" s="3">
        <v>1983</v>
      </c>
      <c r="D518" s="2">
        <f>AVERAGE(C519:C530)</f>
        <v>141.91666666666666</v>
      </c>
      <c r="E518" s="3">
        <f>MEDIAN(C519:C530)</f>
        <v>145.44999999999999</v>
      </c>
    </row>
    <row r="519" spans="1:5" ht="12.75" x14ac:dyDescent="0.2">
      <c r="B519" s="3" t="s">
        <v>10</v>
      </c>
      <c r="C519" s="3">
        <v>108.3</v>
      </c>
      <c r="D519" s="2"/>
    </row>
    <row r="520" spans="1:5" ht="12.75" x14ac:dyDescent="0.2">
      <c r="B520" s="3" t="s">
        <v>11</v>
      </c>
      <c r="C520" s="3">
        <v>136</v>
      </c>
      <c r="D520" s="2"/>
    </row>
    <row r="521" spans="1:5" ht="12.75" x14ac:dyDescent="0.2">
      <c r="B521" s="3" t="s">
        <v>12</v>
      </c>
      <c r="C521" s="3">
        <v>159.30000000000001</v>
      </c>
      <c r="D521" s="2"/>
    </row>
    <row r="522" spans="1:5" ht="12.75" x14ac:dyDescent="0.2">
      <c r="B522" s="3" t="s">
        <v>13</v>
      </c>
      <c r="C522" s="3">
        <v>154.9</v>
      </c>
      <c r="D522" s="2"/>
    </row>
    <row r="523" spans="1:5" ht="12.75" x14ac:dyDescent="0.2">
      <c r="B523" s="3" t="s">
        <v>14</v>
      </c>
      <c r="C523" s="3">
        <v>176.8</v>
      </c>
      <c r="D523" s="2"/>
    </row>
    <row r="524" spans="1:5" ht="12.75" x14ac:dyDescent="0.2">
      <c r="B524" s="3" t="s">
        <v>3</v>
      </c>
      <c r="C524" s="3">
        <v>161.6</v>
      </c>
      <c r="D524" s="2"/>
    </row>
    <row r="525" spans="1:5" ht="12.75" x14ac:dyDescent="0.2">
      <c r="B525" s="3" t="s">
        <v>4</v>
      </c>
      <c r="C525" s="3">
        <v>173.2</v>
      </c>
      <c r="D525" s="2"/>
    </row>
    <row r="526" spans="1:5" ht="12.75" x14ac:dyDescent="0.2">
      <c r="B526" s="3" t="s">
        <v>5</v>
      </c>
      <c r="C526" s="3">
        <v>174.9</v>
      </c>
      <c r="D526" s="2"/>
    </row>
    <row r="527" spans="1:5" ht="12.75" x14ac:dyDescent="0.2">
      <c r="B527" s="3" t="s">
        <v>6</v>
      </c>
      <c r="C527" s="3">
        <v>135.80000000000001</v>
      </c>
      <c r="D527" s="2"/>
    </row>
    <row r="528" spans="1:5" ht="12.75" x14ac:dyDescent="0.2">
      <c r="B528" s="3" t="s">
        <v>7</v>
      </c>
      <c r="C528" s="3">
        <v>134.6</v>
      </c>
      <c r="D528" s="2"/>
    </row>
    <row r="529" spans="1:5" ht="12.75" x14ac:dyDescent="0.2">
      <c r="B529" s="3" t="s">
        <v>15</v>
      </c>
      <c r="C529" s="3">
        <v>96.3</v>
      </c>
      <c r="D529" s="2"/>
    </row>
    <row r="530" spans="1:5" ht="12.75" x14ac:dyDescent="0.2">
      <c r="B530" s="3" t="s">
        <v>9</v>
      </c>
      <c r="C530" s="3">
        <v>91.3</v>
      </c>
      <c r="D530" s="2"/>
    </row>
    <row r="531" spans="1:5" ht="12.75" x14ac:dyDescent="0.2">
      <c r="A531" s="3">
        <v>1982</v>
      </c>
      <c r="D531" s="2">
        <f>AVERAGE(C532:C543)</f>
        <v>88.516666666666666</v>
      </c>
      <c r="E531" s="3">
        <f>MEDIAN(C532:C543)</f>
        <v>93.55</v>
      </c>
    </row>
    <row r="532" spans="1:5" ht="12.75" x14ac:dyDescent="0.2">
      <c r="B532" s="3" t="s">
        <v>10</v>
      </c>
      <c r="C532" s="3">
        <v>82.9</v>
      </c>
      <c r="D532" s="2"/>
    </row>
    <row r="533" spans="1:5" ht="12.75" x14ac:dyDescent="0.2">
      <c r="B533" s="3" t="s">
        <v>11</v>
      </c>
      <c r="C533" s="3">
        <v>108.9</v>
      </c>
      <c r="D533" s="2"/>
    </row>
    <row r="534" spans="1:5" ht="12.75" x14ac:dyDescent="0.2">
      <c r="B534" s="3" t="s">
        <v>12</v>
      </c>
      <c r="C534" s="3">
        <v>110.5</v>
      </c>
      <c r="D534" s="2"/>
    </row>
    <row r="535" spans="1:5" ht="12.75" x14ac:dyDescent="0.2">
      <c r="B535" s="3" t="s">
        <v>13</v>
      </c>
      <c r="C535" s="3">
        <v>106.4</v>
      </c>
      <c r="D535" s="2"/>
    </row>
    <row r="536" spans="1:5" ht="12.75" x14ac:dyDescent="0.2">
      <c r="B536" s="3" t="s">
        <v>14</v>
      </c>
      <c r="C536" s="3">
        <v>96</v>
      </c>
      <c r="D536" s="2"/>
    </row>
    <row r="537" spans="1:5" ht="12.75" x14ac:dyDescent="0.2">
      <c r="B537" s="3" t="s">
        <v>3</v>
      </c>
      <c r="C537" s="3">
        <v>106.8</v>
      </c>
      <c r="D537" s="2"/>
    </row>
    <row r="538" spans="1:5" ht="12.75" x14ac:dyDescent="0.2">
      <c r="B538" s="3" t="s">
        <v>4</v>
      </c>
      <c r="C538" s="3">
        <v>91.1</v>
      </c>
      <c r="D538" s="2"/>
    </row>
    <row r="539" spans="1:5" ht="12.75" x14ac:dyDescent="0.2">
      <c r="B539" s="3" t="s">
        <v>5</v>
      </c>
      <c r="C539" s="3">
        <v>98.8</v>
      </c>
      <c r="D539" s="2"/>
    </row>
    <row r="540" spans="1:5" ht="12.75" x14ac:dyDescent="0.2">
      <c r="B540" s="3" t="s">
        <v>6</v>
      </c>
      <c r="C540" s="3">
        <v>84.1</v>
      </c>
      <c r="D540" s="2"/>
    </row>
    <row r="541" spans="1:5" ht="12.75" x14ac:dyDescent="0.2">
      <c r="B541" s="3" t="s">
        <v>7</v>
      </c>
      <c r="C541" s="3">
        <v>78.2</v>
      </c>
      <c r="D541" s="2"/>
    </row>
    <row r="542" spans="1:5" ht="12.75" x14ac:dyDescent="0.2">
      <c r="B542" s="3" t="s">
        <v>15</v>
      </c>
      <c r="C542" s="3">
        <v>51.3</v>
      </c>
      <c r="D542" s="2"/>
    </row>
    <row r="543" spans="1:5" ht="12.75" x14ac:dyDescent="0.2">
      <c r="B543" s="3" t="s">
        <v>9</v>
      </c>
      <c r="C543" s="3">
        <v>47.2</v>
      </c>
      <c r="D543" s="2"/>
    </row>
    <row r="544" spans="1:5" ht="12.75" x14ac:dyDescent="0.2">
      <c r="A544" s="3">
        <v>1981</v>
      </c>
      <c r="D544" s="2">
        <f>AVERAGE(C545:C556)</f>
        <v>90.341666666666654</v>
      </c>
      <c r="E544" s="3">
        <f>MEDIAN(C545:C556)</f>
        <v>86.75</v>
      </c>
    </row>
    <row r="545" spans="1:5" ht="12.75" x14ac:dyDescent="0.2">
      <c r="B545" s="3" t="s">
        <v>10</v>
      </c>
      <c r="C545" s="3">
        <v>59.1</v>
      </c>
      <c r="D545" s="2"/>
    </row>
    <row r="546" spans="1:5" ht="12.75" x14ac:dyDescent="0.2">
      <c r="B546" s="3" t="s">
        <v>11</v>
      </c>
      <c r="C546" s="3">
        <v>64.599999999999994</v>
      </c>
      <c r="D546" s="2"/>
    </row>
    <row r="547" spans="1:5" ht="12.75" x14ac:dyDescent="0.2">
      <c r="B547" s="3" t="s">
        <v>12</v>
      </c>
      <c r="C547" s="3">
        <v>87.2</v>
      </c>
      <c r="D547" s="2"/>
    </row>
    <row r="548" spans="1:5" ht="12.75" x14ac:dyDescent="0.2">
      <c r="B548" s="3" t="s">
        <v>13</v>
      </c>
      <c r="C548" s="3">
        <v>84.1</v>
      </c>
      <c r="D548" s="2"/>
    </row>
    <row r="549" spans="1:5" ht="12.75" x14ac:dyDescent="0.2">
      <c r="B549" s="3" t="s">
        <v>14</v>
      </c>
      <c r="C549" s="3">
        <v>86.3</v>
      </c>
      <c r="D549" s="2"/>
    </row>
    <row r="550" spans="1:5" ht="12.75" x14ac:dyDescent="0.2">
      <c r="B550" s="3" t="s">
        <v>3</v>
      </c>
      <c r="C550" s="3">
        <v>99.9</v>
      </c>
      <c r="D550" s="2"/>
    </row>
    <row r="551" spans="1:5" ht="12.75" x14ac:dyDescent="0.2">
      <c r="B551" s="3" t="s">
        <v>4</v>
      </c>
      <c r="C551" s="3">
        <v>105.8</v>
      </c>
      <c r="D551" s="2"/>
    </row>
    <row r="552" spans="1:5" ht="12.75" x14ac:dyDescent="0.2">
      <c r="B552" s="3" t="s">
        <v>5</v>
      </c>
      <c r="C552" s="3">
        <v>109.9</v>
      </c>
      <c r="D552" s="2"/>
    </row>
    <row r="553" spans="1:5" ht="12.75" x14ac:dyDescent="0.2">
      <c r="B553" s="3" t="s">
        <v>6</v>
      </c>
      <c r="C553" s="3">
        <v>123</v>
      </c>
      <c r="D553" s="2"/>
    </row>
    <row r="554" spans="1:5" ht="12.75" x14ac:dyDescent="0.2">
      <c r="B554" s="3" t="s">
        <v>7</v>
      </c>
      <c r="C554" s="3">
        <v>107.8</v>
      </c>
      <c r="D554" s="2"/>
    </row>
    <row r="555" spans="1:5" ht="12.75" x14ac:dyDescent="0.2">
      <c r="B555" s="3" t="s">
        <v>15</v>
      </c>
      <c r="C555" s="3">
        <v>71.900000000000006</v>
      </c>
      <c r="D555" s="2"/>
    </row>
    <row r="556" spans="1:5" ht="12.75" x14ac:dyDescent="0.2">
      <c r="B556" s="3" t="s">
        <v>9</v>
      </c>
      <c r="C556" s="3">
        <v>84.5</v>
      </c>
      <c r="D556" s="2"/>
    </row>
    <row r="557" spans="1:5" ht="12.75" x14ac:dyDescent="0.2">
      <c r="A557" s="3">
        <v>1980</v>
      </c>
      <c r="D557" s="2">
        <f>AVERAGE(C558:C569)</f>
        <v>107.68333333333334</v>
      </c>
      <c r="E557" s="3">
        <f>MEDIAN(C558:C569)</f>
        <v>104.55000000000001</v>
      </c>
    </row>
    <row r="558" spans="1:5" ht="12.75" x14ac:dyDescent="0.2">
      <c r="B558" s="3" t="s">
        <v>10</v>
      </c>
      <c r="C558" s="3">
        <v>95.9</v>
      </c>
      <c r="D558" s="2"/>
    </row>
    <row r="559" spans="1:5" ht="12.75" x14ac:dyDescent="0.2">
      <c r="B559" s="3" t="s">
        <v>11</v>
      </c>
      <c r="C559" s="3">
        <v>112.9</v>
      </c>
      <c r="D559" s="2"/>
    </row>
    <row r="560" spans="1:5" ht="12.75" x14ac:dyDescent="0.2">
      <c r="B560" s="3" t="s">
        <v>12</v>
      </c>
      <c r="C560" s="3">
        <v>152.69999999999999</v>
      </c>
      <c r="D560" s="2"/>
    </row>
    <row r="561" spans="1:5" ht="12.75" x14ac:dyDescent="0.2">
      <c r="B561" s="3" t="s">
        <v>13</v>
      </c>
      <c r="C561" s="3">
        <v>138.30000000000001</v>
      </c>
      <c r="D561" s="2"/>
    </row>
    <row r="562" spans="1:5" ht="12.75" x14ac:dyDescent="0.2">
      <c r="B562" s="3" t="s">
        <v>14</v>
      </c>
      <c r="C562" s="3">
        <v>129.9</v>
      </c>
      <c r="D562" s="2"/>
    </row>
    <row r="563" spans="1:5" ht="12.75" x14ac:dyDescent="0.2">
      <c r="B563" s="3" t="s">
        <v>3</v>
      </c>
      <c r="C563" s="3">
        <v>120.1</v>
      </c>
      <c r="D563" s="2"/>
    </row>
    <row r="564" spans="1:5" ht="12.75" x14ac:dyDescent="0.2">
      <c r="B564" s="3" t="s">
        <v>4</v>
      </c>
      <c r="C564" s="3">
        <v>116.4</v>
      </c>
      <c r="D564" s="2"/>
    </row>
    <row r="565" spans="1:5" ht="12.75" x14ac:dyDescent="0.2">
      <c r="B565" s="3" t="s">
        <v>5</v>
      </c>
      <c r="C565" s="3">
        <v>91.7</v>
      </c>
      <c r="D565" s="2"/>
    </row>
    <row r="566" spans="1:5" ht="12.75" x14ac:dyDescent="0.2">
      <c r="B566" s="3" t="s">
        <v>6</v>
      </c>
      <c r="C566" s="3">
        <v>96.2</v>
      </c>
      <c r="D566" s="2"/>
    </row>
    <row r="567" spans="1:5" ht="12.75" x14ac:dyDescent="0.2">
      <c r="B567" s="3" t="s">
        <v>7</v>
      </c>
      <c r="C567" s="3">
        <v>85.1</v>
      </c>
      <c r="D567" s="2"/>
    </row>
    <row r="568" spans="1:5" ht="12.75" x14ac:dyDescent="0.2">
      <c r="B568" s="3" t="s">
        <v>15</v>
      </c>
      <c r="C568" s="3">
        <v>79.900000000000006</v>
      </c>
      <c r="D568" s="2"/>
    </row>
    <row r="569" spans="1:5" ht="12.75" x14ac:dyDescent="0.2">
      <c r="B569" s="3" t="s">
        <v>9</v>
      </c>
      <c r="C569" s="3">
        <v>73.099999999999994</v>
      </c>
      <c r="D569" s="2"/>
    </row>
    <row r="570" spans="1:5" ht="12.75" x14ac:dyDescent="0.2">
      <c r="A570" s="3">
        <v>1979</v>
      </c>
      <c r="D570" s="2">
        <f>AVERAGE(C571:C582)</f>
        <v>145.40833333333333</v>
      </c>
      <c r="E570" s="3">
        <f>MEDIAN(C571:C582)</f>
        <v>162.35</v>
      </c>
    </row>
    <row r="571" spans="1:5" ht="12.75" x14ac:dyDescent="0.2">
      <c r="B571" s="3" t="s">
        <v>10</v>
      </c>
      <c r="C571" s="3">
        <v>91.6</v>
      </c>
      <c r="D571" s="2"/>
    </row>
    <row r="572" spans="1:5" ht="12.75" x14ac:dyDescent="0.2">
      <c r="B572" s="3" t="s">
        <v>11</v>
      </c>
      <c r="C572" s="3">
        <v>118.7</v>
      </c>
      <c r="D572" s="2"/>
    </row>
    <row r="573" spans="1:5" ht="12.75" x14ac:dyDescent="0.2">
      <c r="B573" s="3" t="s">
        <v>12</v>
      </c>
      <c r="C573" s="3">
        <v>169</v>
      </c>
      <c r="D573" s="2"/>
    </row>
    <row r="574" spans="1:5" ht="12.75" x14ac:dyDescent="0.2">
      <c r="B574" s="3" t="s">
        <v>13</v>
      </c>
      <c r="C574" s="3">
        <v>163.69999999999999</v>
      </c>
      <c r="D574" s="2"/>
    </row>
    <row r="575" spans="1:5" ht="12.75" x14ac:dyDescent="0.2">
      <c r="B575" s="3" t="s">
        <v>14</v>
      </c>
      <c r="C575" s="3">
        <v>170.3</v>
      </c>
      <c r="D575" s="2"/>
    </row>
    <row r="576" spans="1:5" ht="12.75" x14ac:dyDescent="0.2">
      <c r="B576" s="3" t="s">
        <v>3</v>
      </c>
      <c r="C576" s="3">
        <v>164.1</v>
      </c>
      <c r="D576" s="2"/>
    </row>
    <row r="577" spans="1:5" ht="12.75" x14ac:dyDescent="0.2">
      <c r="B577" s="3" t="s">
        <v>4</v>
      </c>
      <c r="C577" s="3">
        <v>191.8</v>
      </c>
      <c r="D577" s="2"/>
    </row>
    <row r="578" spans="1:5" ht="12.75" x14ac:dyDescent="0.2">
      <c r="B578" s="3" t="s">
        <v>5</v>
      </c>
      <c r="C578" s="3">
        <v>189.1</v>
      </c>
      <c r="D578" s="2"/>
    </row>
    <row r="579" spans="1:5" ht="12.75" x14ac:dyDescent="0.2">
      <c r="B579" s="3" t="s">
        <v>6</v>
      </c>
      <c r="C579" s="3">
        <v>161</v>
      </c>
      <c r="D579" s="2"/>
    </row>
    <row r="580" spans="1:5" ht="12.75" x14ac:dyDescent="0.2">
      <c r="B580" s="3" t="s">
        <v>7</v>
      </c>
      <c r="C580" s="3">
        <v>152.9</v>
      </c>
      <c r="D580" s="2"/>
    </row>
    <row r="581" spans="1:5" ht="12.75" x14ac:dyDescent="0.2">
      <c r="B581" s="3" t="s">
        <v>15</v>
      </c>
      <c r="C581" s="3">
        <v>84.5</v>
      </c>
      <c r="D581" s="2"/>
    </row>
    <row r="582" spans="1:5" ht="12.75" x14ac:dyDescent="0.2">
      <c r="B582" s="3" t="s">
        <v>9</v>
      </c>
      <c r="C582" s="3">
        <v>88.2</v>
      </c>
      <c r="D582" s="2"/>
    </row>
    <row r="583" spans="1:5" ht="12.75" x14ac:dyDescent="0.2">
      <c r="A583" s="3">
        <v>1978</v>
      </c>
      <c r="D583" s="2">
        <f>AVERAGE(C584:C595)</f>
        <v>168.35833333333332</v>
      </c>
      <c r="E583" s="3">
        <f>MEDIAN(C584:C595)</f>
        <v>185.7</v>
      </c>
    </row>
    <row r="584" spans="1:5" ht="12.75" x14ac:dyDescent="0.2">
      <c r="B584" s="3" t="s">
        <v>10</v>
      </c>
      <c r="C584" s="3">
        <v>119.5</v>
      </c>
      <c r="D584" s="2"/>
    </row>
    <row r="585" spans="1:5" ht="12.75" x14ac:dyDescent="0.2">
      <c r="B585" s="3" t="s">
        <v>11</v>
      </c>
      <c r="C585" s="3">
        <v>158.6</v>
      </c>
      <c r="D585" s="2"/>
    </row>
    <row r="586" spans="1:5" ht="12.75" x14ac:dyDescent="0.2">
      <c r="B586" s="3" t="s">
        <v>12</v>
      </c>
      <c r="C586" s="3">
        <v>192.1</v>
      </c>
      <c r="D586" s="2"/>
    </row>
    <row r="587" spans="1:5" ht="12.75" x14ac:dyDescent="0.2">
      <c r="B587" s="3" t="s">
        <v>13</v>
      </c>
      <c r="C587" s="3">
        <v>180.5</v>
      </c>
      <c r="D587" s="2"/>
    </row>
    <row r="588" spans="1:5" ht="12.75" x14ac:dyDescent="0.2">
      <c r="B588" s="3" t="s">
        <v>14</v>
      </c>
      <c r="C588" s="3">
        <v>190.9</v>
      </c>
      <c r="D588" s="2"/>
    </row>
    <row r="589" spans="1:5" ht="12.75" x14ac:dyDescent="0.2">
      <c r="B589" s="3" t="s">
        <v>3</v>
      </c>
      <c r="C589" s="3">
        <v>192.2</v>
      </c>
      <c r="D589" s="2"/>
    </row>
    <row r="590" spans="1:5" ht="12.75" x14ac:dyDescent="0.2">
      <c r="B590" s="3" t="s">
        <v>4</v>
      </c>
      <c r="C590" s="3">
        <v>216</v>
      </c>
      <c r="D590" s="2"/>
    </row>
    <row r="591" spans="1:5" ht="12.75" x14ac:dyDescent="0.2">
      <c r="B591" s="3" t="s">
        <v>5</v>
      </c>
      <c r="C591" s="3">
        <v>211</v>
      </c>
      <c r="D591" s="2"/>
    </row>
    <row r="592" spans="1:5" ht="12.75" x14ac:dyDescent="0.2">
      <c r="B592" s="3" t="s">
        <v>6</v>
      </c>
      <c r="C592" s="3">
        <v>197.5</v>
      </c>
      <c r="D592" s="2"/>
    </row>
    <row r="593" spans="1:5" ht="12.75" x14ac:dyDescent="0.2">
      <c r="B593" s="3" t="s">
        <v>7</v>
      </c>
      <c r="C593" s="3">
        <v>172.1</v>
      </c>
      <c r="D593" s="2"/>
    </row>
    <row r="594" spans="1:5" ht="12.75" x14ac:dyDescent="0.2">
      <c r="B594" s="3" t="s">
        <v>15</v>
      </c>
      <c r="C594" s="3">
        <v>101.3</v>
      </c>
      <c r="D594" s="2"/>
    </row>
    <row r="595" spans="1:5" ht="12.75" x14ac:dyDescent="0.2">
      <c r="B595" s="3" t="s">
        <v>9</v>
      </c>
      <c r="C595" s="3">
        <v>88.6</v>
      </c>
      <c r="D595" s="2"/>
    </row>
    <row r="596" spans="1:5" ht="12.75" x14ac:dyDescent="0.2">
      <c r="A596" s="3">
        <v>1977</v>
      </c>
      <c r="D596" s="2">
        <f>AVERAGE(C597:C608)</f>
        <v>165.59166666666664</v>
      </c>
      <c r="E596" s="3">
        <f>MEDIAN(C597:C608)</f>
        <v>179.95</v>
      </c>
    </row>
    <row r="597" spans="1:5" ht="12.75" x14ac:dyDescent="0.2">
      <c r="B597" s="3" t="s">
        <v>10</v>
      </c>
      <c r="C597" s="3">
        <v>129.19999999999999</v>
      </c>
      <c r="D597" s="2"/>
    </row>
    <row r="598" spans="1:5" ht="12.75" x14ac:dyDescent="0.2">
      <c r="B598" s="3" t="s">
        <v>11</v>
      </c>
      <c r="C598" s="3">
        <v>154.80000000000001</v>
      </c>
      <c r="D598" s="2"/>
    </row>
    <row r="599" spans="1:5" ht="12.75" x14ac:dyDescent="0.2">
      <c r="B599" s="3" t="s">
        <v>12</v>
      </c>
      <c r="C599" s="3">
        <v>193.1</v>
      </c>
      <c r="D599" s="2"/>
    </row>
    <row r="600" spans="1:5" ht="12.75" x14ac:dyDescent="0.2">
      <c r="B600" s="3" t="s">
        <v>13</v>
      </c>
      <c r="C600" s="3">
        <v>177.7</v>
      </c>
      <c r="D600" s="2"/>
    </row>
    <row r="601" spans="1:5" ht="12.75" x14ac:dyDescent="0.2">
      <c r="B601" s="3" t="s">
        <v>14</v>
      </c>
      <c r="C601" s="3">
        <v>194</v>
      </c>
      <c r="D601" s="2"/>
    </row>
    <row r="602" spans="1:5" ht="12.75" x14ac:dyDescent="0.2">
      <c r="B602" s="3" t="s">
        <v>3</v>
      </c>
      <c r="C602" s="3">
        <v>189.8</v>
      </c>
      <c r="D602" s="2"/>
    </row>
    <row r="603" spans="1:5" ht="12.75" x14ac:dyDescent="0.2">
      <c r="B603" s="3" t="s">
        <v>4</v>
      </c>
      <c r="C603" s="3">
        <v>197.6</v>
      </c>
      <c r="D603" s="2"/>
    </row>
    <row r="604" spans="1:5" ht="12.75" x14ac:dyDescent="0.2">
      <c r="B604" s="3" t="s">
        <v>5</v>
      </c>
      <c r="C604" s="3">
        <v>201.3</v>
      </c>
      <c r="D604" s="2"/>
    </row>
    <row r="605" spans="1:5" ht="12.75" x14ac:dyDescent="0.2">
      <c r="B605" s="3" t="s">
        <v>6</v>
      </c>
      <c r="C605" s="3">
        <v>182.2</v>
      </c>
      <c r="D605" s="2"/>
    </row>
    <row r="606" spans="1:5" ht="12.75" x14ac:dyDescent="0.2">
      <c r="B606" s="3" t="s">
        <v>7</v>
      </c>
      <c r="C606" s="3">
        <v>173.6</v>
      </c>
      <c r="D606" s="2"/>
    </row>
    <row r="607" spans="1:5" ht="12.75" x14ac:dyDescent="0.2">
      <c r="B607" s="3" t="s">
        <v>15</v>
      </c>
      <c r="C607" s="3">
        <v>112.5</v>
      </c>
      <c r="D607" s="2"/>
    </row>
    <row r="608" spans="1:5" ht="12.75" x14ac:dyDescent="0.2">
      <c r="B608" s="3" t="s">
        <v>9</v>
      </c>
      <c r="C608" s="3">
        <v>81.3</v>
      </c>
      <c r="D608" s="2"/>
    </row>
    <row r="609" spans="1:5" ht="12.75" x14ac:dyDescent="0.2">
      <c r="D609" s="2"/>
    </row>
    <row r="610" spans="1:5" ht="12.75" x14ac:dyDescent="0.2">
      <c r="A610" s="3">
        <v>1976</v>
      </c>
      <c r="C610" s="3"/>
      <c r="D610" s="2">
        <f>AVERAGE(C611:C622)</f>
        <v>128.10833333333338</v>
      </c>
      <c r="E610" s="3">
        <f>MEDIAN(C611:C622)</f>
        <v>136.89999999999998</v>
      </c>
    </row>
    <row r="611" spans="1:5" ht="12.75" x14ac:dyDescent="0.2">
      <c r="B611" s="3" t="s">
        <v>10</v>
      </c>
      <c r="C611" s="3">
        <v>107.4</v>
      </c>
      <c r="D611" s="2"/>
    </row>
    <row r="612" spans="1:5" ht="12.75" x14ac:dyDescent="0.2">
      <c r="B612" s="3" t="s">
        <v>11</v>
      </c>
      <c r="C612" s="3">
        <v>127.1</v>
      </c>
      <c r="D612" s="2"/>
    </row>
    <row r="613" spans="1:5" ht="12.75" x14ac:dyDescent="0.2">
      <c r="B613" s="3" t="s">
        <v>12</v>
      </c>
      <c r="C613" s="3">
        <v>148.4</v>
      </c>
      <c r="D613" s="2"/>
    </row>
    <row r="614" spans="1:5" ht="12.75" x14ac:dyDescent="0.2">
      <c r="B614" s="3" t="s">
        <v>13</v>
      </c>
      <c r="C614" s="3">
        <v>151.80000000000001</v>
      </c>
      <c r="D614" s="2"/>
    </row>
    <row r="615" spans="1:5" ht="12.75" x14ac:dyDescent="0.2">
      <c r="B615" s="3" t="s">
        <v>14</v>
      </c>
      <c r="C615" s="3">
        <v>145.9</v>
      </c>
      <c r="D615" s="2"/>
    </row>
    <row r="616" spans="1:5" ht="12.75" x14ac:dyDescent="0.2">
      <c r="B616" s="3" t="s">
        <v>3</v>
      </c>
      <c r="C616" s="3">
        <v>136.6</v>
      </c>
      <c r="D616" s="2"/>
    </row>
    <row r="617" spans="1:5" ht="12.75" x14ac:dyDescent="0.2">
      <c r="B617" s="3" t="s">
        <v>4</v>
      </c>
      <c r="C617" s="3">
        <v>154.19999999999999</v>
      </c>
      <c r="D617" s="2"/>
    </row>
    <row r="618" spans="1:5" ht="12.75" x14ac:dyDescent="0.2">
      <c r="B618" s="3" t="s">
        <v>5</v>
      </c>
      <c r="C618" s="3">
        <v>147.9</v>
      </c>
      <c r="D618" s="2"/>
    </row>
    <row r="619" spans="1:5" ht="12.75" x14ac:dyDescent="0.2">
      <c r="B619" s="3" t="s">
        <v>6</v>
      </c>
      <c r="C619" s="3">
        <v>137.19999999999999</v>
      </c>
      <c r="D619" s="2"/>
    </row>
    <row r="620" spans="1:5" ht="12.75" x14ac:dyDescent="0.2">
      <c r="B620" s="3" t="s">
        <v>7</v>
      </c>
      <c r="C620" s="3">
        <v>118.4</v>
      </c>
      <c r="D620" s="2"/>
    </row>
    <row r="621" spans="1:5" ht="12.75" x14ac:dyDescent="0.2">
      <c r="B621" s="3" t="s">
        <v>15</v>
      </c>
      <c r="C621" s="3">
        <v>89.9</v>
      </c>
      <c r="D621" s="2"/>
    </row>
    <row r="622" spans="1:5" ht="12.75" x14ac:dyDescent="0.2">
      <c r="B622" s="3" t="s">
        <v>9</v>
      </c>
      <c r="C622" s="3">
        <v>72.5</v>
      </c>
      <c r="D622" s="2"/>
    </row>
    <row r="623" spans="1:5" ht="12.75" x14ac:dyDescent="0.2">
      <c r="A623" s="3">
        <v>1975</v>
      </c>
      <c r="D623" s="2">
        <f>AVERAGE(C624:C635)</f>
        <v>97.149999999999991</v>
      </c>
      <c r="E623" s="3">
        <f>MEDIAN(C624:C635)</f>
        <v>104.1</v>
      </c>
    </row>
    <row r="624" spans="1:5" ht="12.75" x14ac:dyDescent="0.2">
      <c r="B624" s="3" t="s">
        <v>10</v>
      </c>
      <c r="C624" s="3">
        <v>76.099999999999994</v>
      </c>
      <c r="D624" s="2"/>
    </row>
    <row r="625" spans="1:5" ht="12.75" x14ac:dyDescent="0.2">
      <c r="B625" s="3" t="s">
        <v>11</v>
      </c>
      <c r="C625" s="3">
        <v>96.9</v>
      </c>
      <c r="D625" s="2"/>
    </row>
    <row r="626" spans="1:5" ht="12.75" x14ac:dyDescent="0.2">
      <c r="B626" s="3" t="s">
        <v>12</v>
      </c>
      <c r="C626" s="3">
        <v>123.6</v>
      </c>
      <c r="D626" s="2"/>
    </row>
    <row r="627" spans="1:5" ht="12.75" x14ac:dyDescent="0.2">
      <c r="B627" s="3" t="s">
        <v>13</v>
      </c>
      <c r="C627" s="3">
        <v>117.3</v>
      </c>
      <c r="D627" s="2"/>
    </row>
    <row r="628" spans="1:5" ht="12.75" x14ac:dyDescent="0.2">
      <c r="B628" s="3" t="s">
        <v>14</v>
      </c>
      <c r="C628" s="3">
        <v>117.3</v>
      </c>
      <c r="D628" s="2"/>
    </row>
    <row r="629" spans="1:5" ht="12.75" x14ac:dyDescent="0.2">
      <c r="B629" s="3" t="s">
        <v>3</v>
      </c>
      <c r="C629" s="3">
        <v>119.3</v>
      </c>
      <c r="D629" s="2"/>
    </row>
    <row r="630" spans="1:5" ht="12.75" x14ac:dyDescent="0.2">
      <c r="B630" s="3" t="s">
        <v>4</v>
      </c>
      <c r="C630" s="3">
        <v>110.3</v>
      </c>
      <c r="D630" s="2"/>
    </row>
    <row r="631" spans="1:5" ht="12.75" x14ac:dyDescent="0.2">
      <c r="B631" s="3" t="s">
        <v>5</v>
      </c>
      <c r="C631" s="3">
        <v>116.1</v>
      </c>
      <c r="D631" s="2"/>
    </row>
    <row r="632" spans="1:5" ht="12.75" x14ac:dyDescent="0.2">
      <c r="B632" s="3" t="s">
        <v>6</v>
      </c>
      <c r="C632" s="3">
        <v>97.9</v>
      </c>
      <c r="D632" s="2"/>
    </row>
    <row r="633" spans="1:5" ht="12.75" x14ac:dyDescent="0.2">
      <c r="B633" s="3" t="s">
        <v>7</v>
      </c>
      <c r="C633" s="3">
        <v>80.2</v>
      </c>
      <c r="D633" s="2"/>
    </row>
    <row r="634" spans="1:5" ht="12.75" x14ac:dyDescent="0.2">
      <c r="B634" s="3" t="s">
        <v>15</v>
      </c>
      <c r="C634" s="3">
        <v>54.7</v>
      </c>
      <c r="D634" s="2"/>
    </row>
    <row r="635" spans="1:5" ht="12.75" x14ac:dyDescent="0.2">
      <c r="B635" s="3" t="s">
        <v>9</v>
      </c>
      <c r="C635" s="3">
        <v>56.1</v>
      </c>
      <c r="D635" s="2"/>
    </row>
    <row r="636" spans="1:5" ht="12.75" x14ac:dyDescent="0.2">
      <c r="A636" s="3">
        <v>1974</v>
      </c>
      <c r="D636" s="2">
        <f>AVERAGE(C637:C648)</f>
        <v>111.47500000000001</v>
      </c>
      <c r="E636" s="3">
        <f>MEDIAN(C637:C648)</f>
        <v>110.25</v>
      </c>
    </row>
    <row r="637" spans="1:5" ht="12.75" x14ac:dyDescent="0.2">
      <c r="B637" s="3" t="s">
        <v>10</v>
      </c>
      <c r="C637" s="3">
        <v>55.1</v>
      </c>
      <c r="D637" s="2"/>
    </row>
    <row r="638" spans="1:5" ht="12.75" x14ac:dyDescent="0.2">
      <c r="B638" s="3" t="s">
        <v>11</v>
      </c>
      <c r="C638" s="3">
        <v>75.099999999999994</v>
      </c>
      <c r="D638" s="2"/>
    </row>
    <row r="639" spans="1:5" ht="12.75" x14ac:dyDescent="0.2">
      <c r="B639" s="3" t="s">
        <v>12</v>
      </c>
      <c r="C639" s="3">
        <v>96.7</v>
      </c>
      <c r="D639" s="2"/>
    </row>
    <row r="640" spans="1:5" ht="12.75" x14ac:dyDescent="0.2">
      <c r="B640" s="3" t="s">
        <v>13</v>
      </c>
      <c r="C640" s="3">
        <v>98.3</v>
      </c>
      <c r="D640" s="2"/>
    </row>
    <row r="641" spans="1:5" ht="12.75" x14ac:dyDescent="0.2">
      <c r="B641" s="3" t="s">
        <v>14</v>
      </c>
      <c r="C641" s="3">
        <v>111.1</v>
      </c>
      <c r="D641" s="2"/>
    </row>
    <row r="642" spans="1:5" ht="12.75" x14ac:dyDescent="0.2">
      <c r="B642" s="3" t="s">
        <v>3</v>
      </c>
      <c r="C642" s="3">
        <v>126.6</v>
      </c>
      <c r="D642" s="2"/>
    </row>
    <row r="643" spans="1:5" ht="12.75" x14ac:dyDescent="0.2">
      <c r="B643" s="3" t="s">
        <v>4</v>
      </c>
      <c r="C643" s="3">
        <v>147.6</v>
      </c>
      <c r="D643" s="2"/>
    </row>
    <row r="644" spans="1:5" ht="12.75" x14ac:dyDescent="0.2">
      <c r="B644" s="3" t="s">
        <v>5</v>
      </c>
      <c r="C644" s="3">
        <v>149</v>
      </c>
      <c r="D644" s="2"/>
    </row>
    <row r="645" spans="1:5" ht="12.75" x14ac:dyDescent="0.2">
      <c r="B645" s="3" t="s">
        <v>6</v>
      </c>
      <c r="C645" s="3">
        <v>159.5</v>
      </c>
      <c r="D645" s="2"/>
    </row>
    <row r="646" spans="1:5" ht="12.75" x14ac:dyDescent="0.2">
      <c r="B646" s="3" t="s">
        <v>7</v>
      </c>
      <c r="C646" s="3">
        <v>124.8</v>
      </c>
      <c r="D646" s="2"/>
    </row>
    <row r="647" spans="1:5" ht="12.75" x14ac:dyDescent="0.2">
      <c r="B647" s="3" t="s">
        <v>15</v>
      </c>
      <c r="C647" s="3">
        <v>109.4</v>
      </c>
      <c r="D647" s="2"/>
    </row>
    <row r="648" spans="1:5" ht="12.75" x14ac:dyDescent="0.2">
      <c r="B648" s="3" t="s">
        <v>9</v>
      </c>
      <c r="C648" s="3">
        <v>84.5</v>
      </c>
      <c r="D648" s="2"/>
    </row>
    <row r="649" spans="1:5" ht="12.75" x14ac:dyDescent="0.2">
      <c r="A649" s="3">
        <v>1973</v>
      </c>
      <c r="D649" s="2">
        <f>AVERAGE(C650:C661)</f>
        <v>170.43333333333334</v>
      </c>
      <c r="E649" s="3">
        <f>MEDIAN(C650:C661)</f>
        <v>172.8</v>
      </c>
    </row>
    <row r="650" spans="1:5" ht="12.75" x14ac:dyDescent="0.2">
      <c r="B650" s="3" t="s">
        <v>10</v>
      </c>
      <c r="C650" s="3">
        <v>90.4</v>
      </c>
      <c r="D650" s="2"/>
    </row>
    <row r="651" spans="1:5" ht="12.75" x14ac:dyDescent="0.2">
      <c r="B651" s="3" t="s">
        <v>11</v>
      </c>
      <c r="C651" s="3">
        <v>133.30000000000001</v>
      </c>
      <c r="D651" s="2"/>
    </row>
    <row r="652" spans="1:5" ht="12.75" x14ac:dyDescent="0.2">
      <c r="B652" s="3" t="s">
        <v>12</v>
      </c>
      <c r="C652" s="3">
        <v>147.1</v>
      </c>
      <c r="D652" s="2"/>
    </row>
    <row r="653" spans="1:5" ht="12.75" x14ac:dyDescent="0.2">
      <c r="B653" s="3" t="s">
        <v>13</v>
      </c>
      <c r="C653" s="3">
        <v>148.4</v>
      </c>
      <c r="D653" s="2"/>
    </row>
    <row r="654" spans="1:5" ht="12.75" x14ac:dyDescent="0.2">
      <c r="B654" s="3" t="s">
        <v>14</v>
      </c>
      <c r="C654" s="3">
        <v>197.2</v>
      </c>
      <c r="D654" s="2"/>
    </row>
    <row r="655" spans="1:5" ht="12.75" x14ac:dyDescent="0.2">
      <c r="B655" s="3" t="s">
        <v>3</v>
      </c>
      <c r="C655" s="3">
        <v>202.6</v>
      </c>
      <c r="D655" s="2"/>
    </row>
    <row r="656" spans="1:5" ht="12.75" x14ac:dyDescent="0.2">
      <c r="B656" s="3" t="s">
        <v>4</v>
      </c>
      <c r="C656" s="3">
        <v>202.6</v>
      </c>
      <c r="D656" s="2"/>
    </row>
    <row r="657" spans="1:5" ht="12.75" x14ac:dyDescent="0.2">
      <c r="B657" s="3" t="s">
        <v>5</v>
      </c>
      <c r="C657" s="3">
        <v>234</v>
      </c>
      <c r="D657" s="2"/>
    </row>
    <row r="658" spans="1:5" ht="12.75" x14ac:dyDescent="0.2">
      <c r="B658" s="3" t="s">
        <v>6</v>
      </c>
      <c r="C658" s="3">
        <v>205</v>
      </c>
      <c r="D658" s="2"/>
    </row>
    <row r="659" spans="1:5" ht="12.75" x14ac:dyDescent="0.2">
      <c r="B659" s="3" t="s">
        <v>7</v>
      </c>
      <c r="C659" s="3">
        <v>200</v>
      </c>
      <c r="D659" s="2"/>
    </row>
    <row r="660" spans="1:5" ht="12.75" x14ac:dyDescent="0.2">
      <c r="B660" s="3" t="s">
        <v>15</v>
      </c>
      <c r="C660" s="3">
        <v>138</v>
      </c>
      <c r="D660" s="2"/>
    </row>
    <row r="661" spans="1:5" ht="12.75" x14ac:dyDescent="0.2">
      <c r="B661" s="3" t="s">
        <v>9</v>
      </c>
      <c r="C661" s="3">
        <v>146.6</v>
      </c>
      <c r="D661" s="2"/>
    </row>
    <row r="662" spans="1:5" ht="12.75" x14ac:dyDescent="0.2">
      <c r="A662" s="3">
        <v>1972</v>
      </c>
      <c r="D662" s="2">
        <f>AVERAGE(C663:C674)</f>
        <v>184.95833333333329</v>
      </c>
      <c r="E662" s="3">
        <f>MEDIAN(C663:C674)</f>
        <v>205.2</v>
      </c>
    </row>
    <row r="663" spans="1:5" ht="12.75" x14ac:dyDescent="0.2">
      <c r="B663" s="3" t="s">
        <v>10</v>
      </c>
      <c r="C663" s="3">
        <v>150.5</v>
      </c>
      <c r="D663" s="2"/>
    </row>
    <row r="664" spans="1:5" ht="12.75" x14ac:dyDescent="0.2">
      <c r="B664" s="3" t="s">
        <v>11</v>
      </c>
      <c r="C664" s="3">
        <v>185.7</v>
      </c>
      <c r="D664" s="2"/>
    </row>
    <row r="665" spans="1:5" ht="12.75" x14ac:dyDescent="0.2">
      <c r="B665" s="3" t="s">
        <v>12</v>
      </c>
      <c r="C665" s="3">
        <v>216.5</v>
      </c>
      <c r="D665" s="2"/>
    </row>
    <row r="666" spans="1:5" ht="12.75" x14ac:dyDescent="0.2">
      <c r="B666" s="3" t="s">
        <v>13</v>
      </c>
      <c r="C666" s="3">
        <v>203</v>
      </c>
      <c r="D666" s="2"/>
    </row>
    <row r="667" spans="1:5" ht="12.75" x14ac:dyDescent="0.2">
      <c r="B667" s="3" t="s">
        <v>14</v>
      </c>
      <c r="C667" s="3">
        <v>228.6</v>
      </c>
      <c r="D667" s="2"/>
    </row>
    <row r="668" spans="1:5" ht="12.75" x14ac:dyDescent="0.2">
      <c r="B668" s="3" t="s">
        <v>3</v>
      </c>
      <c r="C668" s="3">
        <v>206.5</v>
      </c>
      <c r="D668" s="2"/>
    </row>
    <row r="669" spans="1:5" ht="12.75" x14ac:dyDescent="0.2">
      <c r="B669" s="3" t="s">
        <v>4</v>
      </c>
      <c r="C669" s="3">
        <v>223.1</v>
      </c>
      <c r="D669" s="2"/>
    </row>
    <row r="670" spans="1:5" ht="12.75" x14ac:dyDescent="0.2">
      <c r="B670" s="3" t="s">
        <v>5</v>
      </c>
      <c r="C670" s="3">
        <v>225.8</v>
      </c>
      <c r="D670" s="2"/>
    </row>
    <row r="671" spans="1:5" ht="12.75" x14ac:dyDescent="0.2">
      <c r="B671" s="3" t="s">
        <v>6</v>
      </c>
      <c r="C671" s="3">
        <v>211.6</v>
      </c>
      <c r="D671" s="2"/>
    </row>
    <row r="672" spans="1:5" ht="12.75" x14ac:dyDescent="0.2">
      <c r="B672" s="3" t="s">
        <v>7</v>
      </c>
      <c r="C672" s="3">
        <v>203.9</v>
      </c>
      <c r="D672" s="2"/>
    </row>
    <row r="673" spans="1:5" ht="12.75" x14ac:dyDescent="0.2">
      <c r="B673" s="3" t="s">
        <v>15</v>
      </c>
      <c r="C673" s="3">
        <v>15.2</v>
      </c>
      <c r="D673" s="2"/>
    </row>
    <row r="674" spans="1:5" ht="12.75" x14ac:dyDescent="0.2">
      <c r="B674" s="3" t="s">
        <v>9</v>
      </c>
      <c r="C674" s="3">
        <v>149.1</v>
      </c>
      <c r="D674" s="2"/>
    </row>
    <row r="675" spans="1:5" ht="12.75" x14ac:dyDescent="0.2">
      <c r="A675" s="3">
        <v>1971</v>
      </c>
      <c r="D675" s="2">
        <f>AVERAGE(C676:C687)</f>
        <v>171.01666666666665</v>
      </c>
      <c r="E675" s="3">
        <f>MEDIAN(C676:C687)</f>
        <v>176.75</v>
      </c>
    </row>
    <row r="676" spans="1:5" ht="12.75" x14ac:dyDescent="0.2">
      <c r="B676" s="3" t="s">
        <v>10</v>
      </c>
      <c r="C676" s="3">
        <v>152.1</v>
      </c>
      <c r="D676" s="2"/>
    </row>
    <row r="677" spans="1:5" ht="12.75" x14ac:dyDescent="0.2">
      <c r="B677" s="3" t="s">
        <v>11</v>
      </c>
      <c r="C677" s="3">
        <v>173.7</v>
      </c>
      <c r="D677" s="2"/>
    </row>
    <row r="678" spans="1:5" ht="12.75" x14ac:dyDescent="0.2">
      <c r="B678" s="3" t="s">
        <v>12</v>
      </c>
      <c r="C678" s="3">
        <v>179.7</v>
      </c>
      <c r="D678" s="2"/>
    </row>
    <row r="679" spans="1:5" ht="12.75" x14ac:dyDescent="0.2">
      <c r="B679" s="3" t="s">
        <v>13</v>
      </c>
      <c r="C679" s="3">
        <v>173.8</v>
      </c>
      <c r="D679" s="2"/>
    </row>
    <row r="680" spans="1:5" ht="12.75" x14ac:dyDescent="0.2">
      <c r="B680" s="3" t="s">
        <v>14</v>
      </c>
      <c r="C680" s="3">
        <v>204.5</v>
      </c>
      <c r="D680" s="2"/>
    </row>
    <row r="681" spans="1:5" ht="12.75" x14ac:dyDescent="0.2">
      <c r="B681" s="3" t="s">
        <v>3</v>
      </c>
      <c r="C681" s="3">
        <v>194.3</v>
      </c>
      <c r="D681" s="2"/>
    </row>
    <row r="682" spans="1:5" ht="12.75" x14ac:dyDescent="0.2">
      <c r="B682" s="3" t="s">
        <v>4</v>
      </c>
      <c r="C682" s="3">
        <v>193.8</v>
      </c>
      <c r="D682" s="2"/>
    </row>
    <row r="683" spans="1:5" ht="12.75" x14ac:dyDescent="0.2">
      <c r="B683" s="3" t="s">
        <v>5</v>
      </c>
      <c r="C683" s="3">
        <v>198.5</v>
      </c>
      <c r="D683" s="2"/>
    </row>
    <row r="684" spans="1:5" ht="12.75" x14ac:dyDescent="0.2">
      <c r="B684" s="3" t="s">
        <v>6</v>
      </c>
      <c r="C684" s="3">
        <v>201.1</v>
      </c>
      <c r="D684" s="2"/>
    </row>
    <row r="685" spans="1:5" ht="12.75" x14ac:dyDescent="0.2">
      <c r="B685" s="3" t="s">
        <v>7</v>
      </c>
      <c r="C685" s="3">
        <v>167.9</v>
      </c>
      <c r="D685" s="2"/>
    </row>
    <row r="686" spans="1:5" ht="12.75" x14ac:dyDescent="0.2">
      <c r="B686" s="3" t="s">
        <v>15</v>
      </c>
      <c r="C686" s="3">
        <v>102.2</v>
      </c>
      <c r="D686" s="2"/>
    </row>
    <row r="687" spans="1:5" ht="12.75" x14ac:dyDescent="0.2">
      <c r="B687" s="3" t="s">
        <v>9</v>
      </c>
      <c r="C687" s="3">
        <v>110.6</v>
      </c>
      <c r="D687" s="2"/>
    </row>
    <row r="688" spans="1:5" ht="12.75" x14ac:dyDescent="0.2">
      <c r="D688" s="2"/>
    </row>
    <row r="689" spans="1:5" ht="12.75" x14ac:dyDescent="0.2">
      <c r="A689" s="3">
        <v>1970</v>
      </c>
      <c r="B689" s="3" t="s">
        <v>10</v>
      </c>
      <c r="C689" s="3">
        <v>121.4</v>
      </c>
      <c r="D689" s="2">
        <f>AVERAGE(C689:C700)</f>
        <v>119.46666666666668</v>
      </c>
      <c r="E689" s="3">
        <f>MEDIAN(C689:C700)</f>
        <v>127.65</v>
      </c>
    </row>
    <row r="690" spans="1:5" ht="12.75" x14ac:dyDescent="0.2">
      <c r="B690" s="3" t="s">
        <v>11</v>
      </c>
      <c r="C690" s="3">
        <v>126.9</v>
      </c>
      <c r="D690" s="2"/>
    </row>
    <row r="691" spans="1:5" ht="12.75" x14ac:dyDescent="0.2">
      <c r="B691" s="3" t="s">
        <v>12</v>
      </c>
      <c r="C691" s="3">
        <v>140.9</v>
      </c>
      <c r="D691" s="2"/>
    </row>
    <row r="692" spans="1:5" ht="12.75" x14ac:dyDescent="0.2">
      <c r="B692" s="3" t="s">
        <v>13</v>
      </c>
      <c r="C692" s="3">
        <v>130.9</v>
      </c>
      <c r="D692" s="2"/>
    </row>
    <row r="693" spans="1:5" ht="12.75" x14ac:dyDescent="0.2">
      <c r="B693" s="3" t="s">
        <v>14</v>
      </c>
      <c r="C693" s="3">
        <v>128.69999999999999</v>
      </c>
      <c r="D693" s="2"/>
    </row>
    <row r="694" spans="1:5" ht="12.75" x14ac:dyDescent="0.2">
      <c r="B694" s="3" t="s">
        <v>3</v>
      </c>
      <c r="C694" s="3">
        <v>140.80000000000001</v>
      </c>
      <c r="D694" s="2"/>
    </row>
    <row r="695" spans="1:5" ht="12.75" x14ac:dyDescent="0.2">
      <c r="B695" s="3" t="s">
        <v>4</v>
      </c>
      <c r="C695" s="3">
        <v>135.19999999999999</v>
      </c>
      <c r="D695" s="2"/>
    </row>
    <row r="696" spans="1:5" ht="12.75" x14ac:dyDescent="0.2">
      <c r="B696" s="3" t="s">
        <v>5</v>
      </c>
      <c r="C696" s="3">
        <v>125</v>
      </c>
      <c r="D696" s="2"/>
    </row>
    <row r="697" spans="1:5" ht="12.75" x14ac:dyDescent="0.2">
      <c r="B697" s="3" t="s">
        <v>6</v>
      </c>
      <c r="C697" s="3">
        <v>128.4</v>
      </c>
      <c r="D697" s="2"/>
    </row>
    <row r="698" spans="1:5" ht="12.75" x14ac:dyDescent="0.2">
      <c r="B698" s="3" t="s">
        <v>7</v>
      </c>
      <c r="C698" s="3">
        <v>114.7</v>
      </c>
      <c r="D698" s="2"/>
    </row>
    <row r="699" spans="1:5" ht="12.75" x14ac:dyDescent="0.2">
      <c r="B699" s="3" t="s">
        <v>15</v>
      </c>
      <c r="C699" s="3">
        <v>74.3</v>
      </c>
      <c r="D699" s="2"/>
    </row>
    <row r="700" spans="1:5" ht="12.75" x14ac:dyDescent="0.2">
      <c r="B700" s="3" t="s">
        <v>9</v>
      </c>
      <c r="C700" s="3">
        <v>66.400000000000006</v>
      </c>
      <c r="D700" s="2"/>
    </row>
    <row r="701" spans="1:5" ht="12.75" x14ac:dyDescent="0.2">
      <c r="A701" s="3">
        <v>1969</v>
      </c>
      <c r="D701" s="2">
        <f>AVERAGE(C702:C713)</f>
        <v>122.23333333333335</v>
      </c>
      <c r="E701" s="3">
        <f>MEDIAN(C702:C713)</f>
        <v>125.05000000000001</v>
      </c>
    </row>
    <row r="702" spans="1:5" ht="12.75" x14ac:dyDescent="0.2">
      <c r="B702" s="3" t="s">
        <v>10</v>
      </c>
      <c r="C702" s="3">
        <v>84.1</v>
      </c>
      <c r="D702" s="2"/>
    </row>
    <row r="703" spans="1:5" ht="12.75" x14ac:dyDescent="0.2">
      <c r="B703" s="3" t="s">
        <v>11</v>
      </c>
      <c r="C703" s="3">
        <v>94.6</v>
      </c>
      <c r="D703" s="2"/>
    </row>
    <row r="704" spans="1:5" ht="12.75" x14ac:dyDescent="0.2">
      <c r="B704" s="3" t="s">
        <v>12</v>
      </c>
      <c r="C704" s="3">
        <v>123.4</v>
      </c>
      <c r="D704" s="2"/>
    </row>
    <row r="705" spans="1:5" ht="12.75" x14ac:dyDescent="0.2">
      <c r="B705" s="3" t="s">
        <v>13</v>
      </c>
      <c r="C705" s="3">
        <v>129.30000000000001</v>
      </c>
      <c r="D705" s="2"/>
    </row>
    <row r="706" spans="1:5" ht="12.75" x14ac:dyDescent="0.2">
      <c r="B706" s="3" t="s">
        <v>14</v>
      </c>
      <c r="C706" s="3">
        <v>124.9</v>
      </c>
      <c r="D706" s="2"/>
    </row>
    <row r="707" spans="1:5" ht="12.75" x14ac:dyDescent="0.2">
      <c r="B707" s="3" t="s">
        <v>3</v>
      </c>
      <c r="C707" s="3">
        <v>125.2</v>
      </c>
      <c r="D707" s="2"/>
    </row>
    <row r="708" spans="1:5" ht="12.75" x14ac:dyDescent="0.2">
      <c r="B708" s="3" t="s">
        <v>4</v>
      </c>
      <c r="C708" s="3">
        <v>147.30000000000001</v>
      </c>
      <c r="D708" s="2"/>
    </row>
    <row r="709" spans="1:5" ht="12.75" x14ac:dyDescent="0.2">
      <c r="B709" s="3" t="s">
        <v>5</v>
      </c>
      <c r="C709" s="3">
        <v>155.5</v>
      </c>
      <c r="D709" s="2"/>
    </row>
    <row r="710" spans="1:5" ht="12.75" x14ac:dyDescent="0.2">
      <c r="B710" s="3" t="s">
        <v>6</v>
      </c>
      <c r="C710" s="3">
        <v>159</v>
      </c>
      <c r="D710" s="2"/>
    </row>
    <row r="711" spans="1:5" ht="12.75" x14ac:dyDescent="0.2">
      <c r="B711" s="3" t="s">
        <v>7</v>
      </c>
      <c r="C711" s="3">
        <v>131.9</v>
      </c>
      <c r="D711" s="2"/>
    </row>
    <row r="712" spans="1:5" ht="12.75" x14ac:dyDescent="0.2">
      <c r="B712" s="3" t="s">
        <v>15</v>
      </c>
      <c r="C712" s="3">
        <v>90.1</v>
      </c>
      <c r="D712" s="2"/>
    </row>
    <row r="713" spans="1:5" ht="12.75" x14ac:dyDescent="0.2">
      <c r="B713" s="3" t="s">
        <v>9</v>
      </c>
      <c r="C713" s="3">
        <v>101.5</v>
      </c>
      <c r="D713" s="2"/>
    </row>
    <row r="714" spans="1:5" ht="12.75" x14ac:dyDescent="0.2">
      <c r="A714" s="3">
        <v>1968</v>
      </c>
      <c r="D714" s="2">
        <f>AVERAGE(C715:C726)</f>
        <v>125.61666666666666</v>
      </c>
      <c r="E714" s="3">
        <f>MEDIAN(C715:C726)</f>
        <v>135.39999999999998</v>
      </c>
    </row>
    <row r="715" spans="1:5" ht="12.75" x14ac:dyDescent="0.2">
      <c r="B715" s="3" t="s">
        <v>10</v>
      </c>
      <c r="C715" s="3">
        <v>96.4</v>
      </c>
      <c r="D715" s="2"/>
    </row>
    <row r="716" spans="1:5" ht="12.75" x14ac:dyDescent="0.2">
      <c r="B716" s="3" t="s">
        <v>11</v>
      </c>
      <c r="C716" s="3">
        <v>127.1</v>
      </c>
      <c r="D716" s="2"/>
    </row>
    <row r="717" spans="1:5" ht="12.75" x14ac:dyDescent="0.2">
      <c r="B717" s="3" t="s">
        <v>12</v>
      </c>
      <c r="C717" s="3">
        <v>140.80000000000001</v>
      </c>
      <c r="D717" s="2"/>
    </row>
    <row r="718" spans="1:5" ht="12.75" x14ac:dyDescent="0.2">
      <c r="B718" s="3" t="s">
        <v>13</v>
      </c>
      <c r="C718" s="3">
        <v>134.19999999999999</v>
      </c>
      <c r="D718" s="2"/>
    </row>
    <row r="719" spans="1:5" ht="12.75" x14ac:dyDescent="0.2">
      <c r="B719" s="3" t="s">
        <v>14</v>
      </c>
      <c r="C719" s="3">
        <v>136.6</v>
      </c>
      <c r="D719" s="2"/>
    </row>
    <row r="720" spans="1:5" ht="12.75" x14ac:dyDescent="0.2">
      <c r="B720" s="3" t="s">
        <v>3</v>
      </c>
      <c r="C720" s="3">
        <v>139.80000000000001</v>
      </c>
      <c r="D720" s="2"/>
    </row>
    <row r="721" spans="2:4" ht="12.75" x14ac:dyDescent="0.2">
      <c r="B721" s="3" t="s">
        <v>4</v>
      </c>
      <c r="C721" s="3">
        <v>137.9</v>
      </c>
      <c r="D721" s="2"/>
    </row>
    <row r="722" spans="2:4" ht="12.75" x14ac:dyDescent="0.2">
      <c r="B722" s="3" t="s">
        <v>5</v>
      </c>
      <c r="C722" s="3">
        <v>140.9</v>
      </c>
      <c r="D722" s="2"/>
    </row>
    <row r="723" spans="2:4" ht="12.75" x14ac:dyDescent="0.2">
      <c r="B723" s="3" t="s">
        <v>6</v>
      </c>
      <c r="C723" s="3">
        <v>162</v>
      </c>
      <c r="D723" s="2"/>
    </row>
    <row r="724" spans="2:4" ht="12.75" x14ac:dyDescent="0.2">
      <c r="B724" s="3" t="s">
        <v>7</v>
      </c>
      <c r="C724" s="3">
        <v>126.6</v>
      </c>
      <c r="D724" s="2"/>
    </row>
    <row r="725" spans="2:4" ht="12.75" x14ac:dyDescent="0.2">
      <c r="B725" s="3" t="s">
        <v>15</v>
      </c>
      <c r="C725" s="3">
        <v>84.6</v>
      </c>
      <c r="D725" s="2"/>
    </row>
    <row r="726" spans="2:4" ht="12.75" x14ac:dyDescent="0.2">
      <c r="B726" s="3" t="s">
        <v>9</v>
      </c>
      <c r="C726" s="3">
        <v>80.5</v>
      </c>
      <c r="D726" s="2"/>
    </row>
    <row r="727" spans="2:4" ht="12.75" x14ac:dyDescent="0.2">
      <c r="D727" s="2"/>
    </row>
    <row r="728" spans="2:4" ht="12.75" x14ac:dyDescent="0.2">
      <c r="D728" s="2"/>
    </row>
    <row r="729" spans="2:4" ht="12.75" x14ac:dyDescent="0.2">
      <c r="D729" s="2"/>
    </row>
    <row r="730" spans="2:4" ht="12.75" x14ac:dyDescent="0.2">
      <c r="D730" s="2"/>
    </row>
    <row r="731" spans="2:4" ht="12.75" x14ac:dyDescent="0.2">
      <c r="D731" s="2"/>
    </row>
    <row r="732" spans="2:4" ht="12.75" x14ac:dyDescent="0.2">
      <c r="D732" s="2"/>
    </row>
    <row r="733" spans="2:4" ht="12.75" x14ac:dyDescent="0.2">
      <c r="D733" s="2"/>
    </row>
    <row r="734" spans="2:4" ht="12.75" x14ac:dyDescent="0.2">
      <c r="D734" s="2"/>
    </row>
    <row r="735" spans="2:4" ht="12.75" x14ac:dyDescent="0.2">
      <c r="D735" s="2"/>
    </row>
    <row r="736" spans="2:4" ht="12.75" x14ac:dyDescent="0.2">
      <c r="D736" s="2"/>
    </row>
    <row r="737" spans="4:4" ht="12.75" x14ac:dyDescent="0.2">
      <c r="D737" s="2"/>
    </row>
    <row r="738" spans="4:4" ht="12.75" x14ac:dyDescent="0.2">
      <c r="D738" s="2"/>
    </row>
    <row r="739" spans="4:4" ht="12.75" x14ac:dyDescent="0.2">
      <c r="D739" s="2"/>
    </row>
    <row r="740" spans="4:4" ht="12.75" x14ac:dyDescent="0.2">
      <c r="D740" s="2"/>
    </row>
    <row r="741" spans="4:4" ht="12.75" x14ac:dyDescent="0.2">
      <c r="D741" s="2"/>
    </row>
    <row r="742" spans="4:4" ht="12.75" x14ac:dyDescent="0.2">
      <c r="D742" s="2"/>
    </row>
    <row r="743" spans="4:4" ht="12.75" x14ac:dyDescent="0.2">
      <c r="D743" s="2"/>
    </row>
    <row r="744" spans="4:4" ht="12.75" x14ac:dyDescent="0.2">
      <c r="D744" s="2"/>
    </row>
    <row r="745" spans="4:4" ht="12.75" x14ac:dyDescent="0.2">
      <c r="D745" s="2"/>
    </row>
    <row r="746" spans="4:4" ht="12.75" x14ac:dyDescent="0.2">
      <c r="D746" s="2"/>
    </row>
    <row r="747" spans="4:4" ht="12.75" x14ac:dyDescent="0.2">
      <c r="D747" s="2"/>
    </row>
    <row r="748" spans="4:4" ht="12.75" x14ac:dyDescent="0.2">
      <c r="D748" s="2"/>
    </row>
    <row r="749" spans="4:4" ht="12.75" x14ac:dyDescent="0.2">
      <c r="D749" s="2"/>
    </row>
    <row r="750" spans="4:4" ht="12.75" x14ac:dyDescent="0.2">
      <c r="D750" s="2"/>
    </row>
    <row r="751" spans="4:4" ht="12.75" x14ac:dyDescent="0.2">
      <c r="D751" s="2"/>
    </row>
    <row r="752" spans="4:4" ht="12.75" x14ac:dyDescent="0.2">
      <c r="D752" s="2"/>
    </row>
    <row r="753" spans="4:4" ht="12.75" x14ac:dyDescent="0.2">
      <c r="D753" s="2"/>
    </row>
    <row r="754" spans="4:4" ht="12.75" x14ac:dyDescent="0.2">
      <c r="D754" s="2"/>
    </row>
    <row r="755" spans="4:4" ht="12.75" x14ac:dyDescent="0.2">
      <c r="D755" s="2"/>
    </row>
    <row r="756" spans="4:4" ht="12.75" x14ac:dyDescent="0.2">
      <c r="D756" s="2"/>
    </row>
    <row r="757" spans="4:4" ht="12.75" x14ac:dyDescent="0.2">
      <c r="D757" s="2"/>
    </row>
    <row r="758" spans="4:4" ht="12.75" x14ac:dyDescent="0.2">
      <c r="D758" s="2"/>
    </row>
    <row r="759" spans="4:4" ht="12.75" x14ac:dyDescent="0.2">
      <c r="D759" s="2"/>
    </row>
    <row r="760" spans="4:4" ht="12.75" x14ac:dyDescent="0.2">
      <c r="D760" s="2"/>
    </row>
    <row r="761" spans="4:4" ht="12.75" x14ac:dyDescent="0.2">
      <c r="D761" s="2"/>
    </row>
    <row r="762" spans="4:4" ht="12.75" x14ac:dyDescent="0.2">
      <c r="D762" s="2"/>
    </row>
    <row r="763" spans="4:4" ht="12.75" x14ac:dyDescent="0.2">
      <c r="D763" s="2"/>
    </row>
    <row r="764" spans="4:4" ht="12.75" x14ac:dyDescent="0.2">
      <c r="D764" s="2"/>
    </row>
    <row r="765" spans="4:4" ht="12.75" x14ac:dyDescent="0.2">
      <c r="D765" s="2"/>
    </row>
    <row r="766" spans="4:4" ht="12.75" x14ac:dyDescent="0.2">
      <c r="D766" s="2"/>
    </row>
    <row r="767" spans="4:4" ht="12.75" x14ac:dyDescent="0.2">
      <c r="D767" s="2"/>
    </row>
    <row r="768" spans="4:4" ht="12.75" x14ac:dyDescent="0.2">
      <c r="D768" s="2"/>
    </row>
    <row r="769" spans="4:4" ht="12.75" x14ac:dyDescent="0.2">
      <c r="D769" s="2"/>
    </row>
    <row r="770" spans="4:4" ht="12.75" x14ac:dyDescent="0.2">
      <c r="D770" s="2"/>
    </row>
    <row r="771" spans="4:4" ht="12.75" x14ac:dyDescent="0.2">
      <c r="D771" s="2"/>
    </row>
    <row r="772" spans="4:4" ht="12.75" x14ac:dyDescent="0.2">
      <c r="D772" s="2"/>
    </row>
    <row r="773" spans="4:4" ht="12.75" x14ac:dyDescent="0.2">
      <c r="D773" s="2"/>
    </row>
    <row r="774" spans="4:4" ht="12.75" x14ac:dyDescent="0.2">
      <c r="D774" s="2"/>
    </row>
    <row r="775" spans="4:4" ht="12.75" x14ac:dyDescent="0.2">
      <c r="D775" s="2"/>
    </row>
    <row r="776" spans="4:4" ht="12.75" x14ac:dyDescent="0.2">
      <c r="D776" s="2"/>
    </row>
    <row r="777" spans="4:4" ht="12.75" x14ac:dyDescent="0.2">
      <c r="D777" s="2"/>
    </row>
    <row r="778" spans="4:4" ht="12.75" x14ac:dyDescent="0.2">
      <c r="D778" s="2"/>
    </row>
    <row r="779" spans="4:4" ht="12.75" x14ac:dyDescent="0.2">
      <c r="D779" s="2"/>
    </row>
    <row r="780" spans="4:4" ht="12.75" x14ac:dyDescent="0.2">
      <c r="D780" s="2"/>
    </row>
    <row r="781" spans="4:4" ht="12.75" x14ac:dyDescent="0.2">
      <c r="D781" s="2"/>
    </row>
    <row r="782" spans="4:4" ht="12.75" x14ac:dyDescent="0.2">
      <c r="D782" s="2"/>
    </row>
    <row r="783" spans="4:4" ht="12.75" x14ac:dyDescent="0.2">
      <c r="D783" s="2"/>
    </row>
    <row r="784" spans="4:4" ht="12.75" x14ac:dyDescent="0.2">
      <c r="D784" s="2"/>
    </row>
    <row r="785" spans="4:4" ht="12.75" x14ac:dyDescent="0.2">
      <c r="D785" s="2"/>
    </row>
    <row r="786" spans="4:4" ht="12.75" x14ac:dyDescent="0.2">
      <c r="D786" s="2"/>
    </row>
    <row r="787" spans="4:4" ht="12.75" x14ac:dyDescent="0.2">
      <c r="D787" s="2"/>
    </row>
    <row r="788" spans="4:4" ht="12.75" x14ac:dyDescent="0.2">
      <c r="D788" s="2"/>
    </row>
    <row r="789" spans="4:4" ht="12.75" x14ac:dyDescent="0.2">
      <c r="D789" s="2"/>
    </row>
    <row r="790" spans="4:4" ht="12.75" x14ac:dyDescent="0.2">
      <c r="D790" s="2"/>
    </row>
    <row r="791" spans="4:4" ht="12.75" x14ac:dyDescent="0.2">
      <c r="D791" s="2"/>
    </row>
    <row r="792" spans="4:4" ht="12.75" x14ac:dyDescent="0.2">
      <c r="D792" s="2"/>
    </row>
    <row r="793" spans="4:4" ht="12.75" x14ac:dyDescent="0.2">
      <c r="D793" s="2"/>
    </row>
    <row r="794" spans="4:4" ht="12.75" x14ac:dyDescent="0.2">
      <c r="D794" s="2"/>
    </row>
    <row r="795" spans="4:4" ht="12.75" x14ac:dyDescent="0.2">
      <c r="D795" s="2"/>
    </row>
    <row r="796" spans="4:4" ht="12.75" x14ac:dyDescent="0.2">
      <c r="D796" s="2"/>
    </row>
    <row r="797" spans="4:4" ht="12.75" x14ac:dyDescent="0.2">
      <c r="D797" s="2"/>
    </row>
    <row r="798" spans="4:4" ht="12.75" x14ac:dyDescent="0.2">
      <c r="D798" s="2"/>
    </row>
    <row r="799" spans="4:4" ht="12.75" x14ac:dyDescent="0.2">
      <c r="D799" s="2"/>
    </row>
    <row r="800" spans="4:4" ht="12.75" x14ac:dyDescent="0.2">
      <c r="D800" s="2"/>
    </row>
    <row r="801" spans="4:4" ht="12.75" x14ac:dyDescent="0.2">
      <c r="D801" s="2"/>
    </row>
    <row r="802" spans="4:4" ht="12.75" x14ac:dyDescent="0.2">
      <c r="D802" s="2"/>
    </row>
    <row r="803" spans="4:4" ht="12.75" x14ac:dyDescent="0.2">
      <c r="D803" s="2"/>
    </row>
    <row r="804" spans="4:4" ht="12.75" x14ac:dyDescent="0.2">
      <c r="D804" s="2"/>
    </row>
    <row r="805" spans="4:4" ht="12.75" x14ac:dyDescent="0.2">
      <c r="D805" s="2"/>
    </row>
    <row r="806" spans="4:4" ht="12.75" x14ac:dyDescent="0.2">
      <c r="D806" s="2"/>
    </row>
    <row r="807" spans="4:4" ht="12.75" x14ac:dyDescent="0.2">
      <c r="D807" s="2"/>
    </row>
    <row r="808" spans="4:4" ht="12.75" x14ac:dyDescent="0.2">
      <c r="D808" s="2"/>
    </row>
    <row r="809" spans="4:4" ht="12.75" x14ac:dyDescent="0.2">
      <c r="D809" s="2"/>
    </row>
    <row r="810" spans="4:4" ht="12.75" x14ac:dyDescent="0.2">
      <c r="D810" s="2"/>
    </row>
    <row r="811" spans="4:4" ht="12.75" x14ac:dyDescent="0.2">
      <c r="D811" s="2"/>
    </row>
    <row r="812" spans="4:4" ht="12.75" x14ac:dyDescent="0.2">
      <c r="D812" s="2"/>
    </row>
    <row r="813" spans="4:4" ht="12.75" x14ac:dyDescent="0.2">
      <c r="D813" s="2"/>
    </row>
    <row r="814" spans="4:4" ht="12.75" x14ac:dyDescent="0.2">
      <c r="D814" s="2"/>
    </row>
    <row r="815" spans="4:4" ht="12.75" x14ac:dyDescent="0.2">
      <c r="D815" s="2"/>
    </row>
    <row r="816" spans="4:4" ht="12.75" x14ac:dyDescent="0.2">
      <c r="D816" s="2"/>
    </row>
    <row r="817" spans="4:4" ht="12.75" x14ac:dyDescent="0.2">
      <c r="D817" s="2"/>
    </row>
    <row r="818" spans="4:4" ht="12.75" x14ac:dyDescent="0.2">
      <c r="D818" s="2"/>
    </row>
    <row r="819" spans="4:4" ht="12.75" x14ac:dyDescent="0.2">
      <c r="D819" s="2"/>
    </row>
    <row r="820" spans="4:4" ht="12.75" x14ac:dyDescent="0.2">
      <c r="D820" s="2"/>
    </row>
    <row r="821" spans="4:4" ht="12.75" x14ac:dyDescent="0.2">
      <c r="D821" s="2"/>
    </row>
    <row r="822" spans="4:4" ht="12.75" x14ac:dyDescent="0.2">
      <c r="D822" s="2"/>
    </row>
    <row r="823" spans="4:4" ht="12.75" x14ac:dyDescent="0.2">
      <c r="D823" s="2"/>
    </row>
    <row r="824" spans="4:4" ht="12.75" x14ac:dyDescent="0.2">
      <c r="D824" s="2"/>
    </row>
    <row r="825" spans="4:4" ht="12.75" x14ac:dyDescent="0.2">
      <c r="D825" s="2"/>
    </row>
    <row r="826" spans="4:4" ht="12.75" x14ac:dyDescent="0.2">
      <c r="D826" s="2"/>
    </row>
    <row r="827" spans="4:4" ht="12.75" x14ac:dyDescent="0.2">
      <c r="D827" s="2"/>
    </row>
    <row r="828" spans="4:4" ht="12.75" x14ac:dyDescent="0.2">
      <c r="D828" s="2"/>
    </row>
    <row r="829" spans="4:4" ht="12.75" x14ac:dyDescent="0.2">
      <c r="D829" s="2"/>
    </row>
    <row r="830" spans="4:4" ht="12.75" x14ac:dyDescent="0.2">
      <c r="D830" s="2"/>
    </row>
    <row r="831" spans="4:4" ht="12.75" x14ac:dyDescent="0.2">
      <c r="D831" s="2"/>
    </row>
    <row r="832" spans="4:4" ht="12.75" x14ac:dyDescent="0.2">
      <c r="D832" s="2"/>
    </row>
    <row r="833" spans="4:4" ht="12.75" x14ac:dyDescent="0.2">
      <c r="D833" s="2"/>
    </row>
    <row r="834" spans="4:4" ht="12.75" x14ac:dyDescent="0.2">
      <c r="D834" s="2"/>
    </row>
    <row r="835" spans="4:4" ht="12.75" x14ac:dyDescent="0.2">
      <c r="D835" s="2"/>
    </row>
    <row r="836" spans="4:4" ht="12.75" x14ac:dyDescent="0.2">
      <c r="D836" s="2"/>
    </row>
    <row r="837" spans="4:4" ht="12.75" x14ac:dyDescent="0.2">
      <c r="D837" s="2"/>
    </row>
    <row r="838" spans="4:4" ht="12.75" x14ac:dyDescent="0.2">
      <c r="D838" s="2"/>
    </row>
    <row r="839" spans="4:4" ht="12.75" x14ac:dyDescent="0.2">
      <c r="D839" s="2"/>
    </row>
    <row r="840" spans="4:4" ht="12.75" x14ac:dyDescent="0.2">
      <c r="D840" s="2"/>
    </row>
    <row r="841" spans="4:4" ht="12.75" x14ac:dyDescent="0.2">
      <c r="D841" s="2"/>
    </row>
    <row r="842" spans="4:4" ht="12.75" x14ac:dyDescent="0.2">
      <c r="D842" s="2"/>
    </row>
    <row r="843" spans="4:4" ht="12.75" x14ac:dyDescent="0.2">
      <c r="D843" s="2"/>
    </row>
    <row r="844" spans="4:4" ht="12.75" x14ac:dyDescent="0.2">
      <c r="D844" s="2"/>
    </row>
    <row r="845" spans="4:4" ht="12.75" x14ac:dyDescent="0.2">
      <c r="D845" s="2"/>
    </row>
    <row r="846" spans="4:4" ht="12.75" x14ac:dyDescent="0.2">
      <c r="D846" s="2"/>
    </row>
    <row r="847" spans="4:4" ht="12.75" x14ac:dyDescent="0.2">
      <c r="D847" s="2"/>
    </row>
    <row r="848" spans="4:4" ht="12.75" x14ac:dyDescent="0.2">
      <c r="D848" s="2"/>
    </row>
    <row r="849" spans="4:4" ht="12.75" x14ac:dyDescent="0.2">
      <c r="D849" s="2"/>
    </row>
    <row r="850" spans="4:4" ht="12.75" x14ac:dyDescent="0.2">
      <c r="D850" s="2"/>
    </row>
    <row r="851" spans="4:4" ht="12.75" x14ac:dyDescent="0.2">
      <c r="D851" s="2"/>
    </row>
    <row r="852" spans="4:4" ht="12.75" x14ac:dyDescent="0.2">
      <c r="D852" s="2"/>
    </row>
    <row r="853" spans="4:4" ht="12.75" x14ac:dyDescent="0.2">
      <c r="D853" s="2"/>
    </row>
    <row r="854" spans="4:4" ht="12.75" x14ac:dyDescent="0.2">
      <c r="D854" s="2"/>
    </row>
    <row r="855" spans="4:4" ht="12.75" x14ac:dyDescent="0.2">
      <c r="D855" s="2"/>
    </row>
    <row r="856" spans="4:4" ht="12.75" x14ac:dyDescent="0.2">
      <c r="D856" s="2"/>
    </row>
    <row r="857" spans="4:4" ht="12.75" x14ac:dyDescent="0.2">
      <c r="D857" s="2"/>
    </row>
    <row r="858" spans="4:4" ht="12.75" x14ac:dyDescent="0.2">
      <c r="D858" s="2"/>
    </row>
    <row r="859" spans="4:4" ht="12.75" x14ac:dyDescent="0.2">
      <c r="D859" s="2"/>
    </row>
    <row r="860" spans="4:4" ht="12.75" x14ac:dyDescent="0.2">
      <c r="D860" s="2"/>
    </row>
    <row r="861" spans="4:4" ht="12.75" x14ac:dyDescent="0.2">
      <c r="D861" s="2"/>
    </row>
    <row r="862" spans="4:4" ht="12.75" x14ac:dyDescent="0.2">
      <c r="D862" s="2"/>
    </row>
    <row r="863" spans="4:4" ht="12.75" x14ac:dyDescent="0.2">
      <c r="D863" s="2"/>
    </row>
    <row r="864" spans="4:4" ht="12.75" x14ac:dyDescent="0.2">
      <c r="D864" s="2"/>
    </row>
    <row r="865" spans="4:4" ht="12.75" x14ac:dyDescent="0.2">
      <c r="D865" s="2"/>
    </row>
    <row r="866" spans="4:4" ht="12.75" x14ac:dyDescent="0.2">
      <c r="D866" s="2"/>
    </row>
    <row r="867" spans="4:4" ht="12.75" x14ac:dyDescent="0.2">
      <c r="D867" s="2"/>
    </row>
    <row r="868" spans="4:4" ht="12.75" x14ac:dyDescent="0.2">
      <c r="D868" s="2"/>
    </row>
    <row r="869" spans="4:4" ht="12.75" x14ac:dyDescent="0.2">
      <c r="D869" s="2"/>
    </row>
    <row r="870" spans="4:4" ht="12.75" x14ac:dyDescent="0.2">
      <c r="D870" s="2"/>
    </row>
    <row r="871" spans="4:4" ht="12.75" x14ac:dyDescent="0.2">
      <c r="D871" s="2"/>
    </row>
    <row r="872" spans="4:4" ht="12.75" x14ac:dyDescent="0.2">
      <c r="D872" s="2"/>
    </row>
    <row r="873" spans="4:4" ht="12.75" x14ac:dyDescent="0.2">
      <c r="D873" s="2"/>
    </row>
    <row r="874" spans="4:4" ht="12.75" x14ac:dyDescent="0.2">
      <c r="D874" s="2"/>
    </row>
    <row r="875" spans="4:4" ht="12.75" x14ac:dyDescent="0.2">
      <c r="D875" s="2"/>
    </row>
    <row r="876" spans="4:4" ht="12.75" x14ac:dyDescent="0.2">
      <c r="D876" s="2"/>
    </row>
    <row r="877" spans="4:4" ht="12.75" x14ac:dyDescent="0.2">
      <c r="D877" s="2"/>
    </row>
    <row r="878" spans="4:4" ht="12.75" x14ac:dyDescent="0.2">
      <c r="D878" s="2"/>
    </row>
    <row r="879" spans="4:4" ht="12.75" x14ac:dyDescent="0.2">
      <c r="D879" s="2"/>
    </row>
    <row r="880" spans="4:4" ht="12.75" x14ac:dyDescent="0.2">
      <c r="D880" s="2"/>
    </row>
    <row r="881" spans="4:4" ht="12.75" x14ac:dyDescent="0.2">
      <c r="D881" s="2"/>
    </row>
    <row r="882" spans="4:4" ht="12.75" x14ac:dyDescent="0.2">
      <c r="D882" s="2"/>
    </row>
    <row r="883" spans="4:4" ht="12.75" x14ac:dyDescent="0.2">
      <c r="D883" s="2"/>
    </row>
    <row r="884" spans="4:4" ht="12.75" x14ac:dyDescent="0.2">
      <c r="D884" s="2"/>
    </row>
    <row r="885" spans="4:4" ht="12.75" x14ac:dyDescent="0.2">
      <c r="D885" s="2"/>
    </row>
    <row r="886" spans="4:4" ht="12.75" x14ac:dyDescent="0.2">
      <c r="D886" s="2"/>
    </row>
    <row r="887" spans="4:4" ht="12.75" x14ac:dyDescent="0.2">
      <c r="D887" s="2"/>
    </row>
    <row r="888" spans="4:4" ht="12.75" x14ac:dyDescent="0.2">
      <c r="D888" s="2"/>
    </row>
    <row r="889" spans="4:4" ht="12.75" x14ac:dyDescent="0.2">
      <c r="D889" s="2"/>
    </row>
    <row r="890" spans="4:4" ht="12.75" x14ac:dyDescent="0.2">
      <c r="D890" s="2"/>
    </row>
    <row r="891" spans="4:4" ht="12.75" x14ac:dyDescent="0.2">
      <c r="D891" s="2"/>
    </row>
    <row r="892" spans="4:4" ht="12.75" x14ac:dyDescent="0.2">
      <c r="D892" s="2"/>
    </row>
    <row r="893" spans="4:4" ht="12.75" x14ac:dyDescent="0.2">
      <c r="D893" s="2"/>
    </row>
    <row r="894" spans="4:4" ht="12.75" x14ac:dyDescent="0.2">
      <c r="D894" s="2"/>
    </row>
    <row r="895" spans="4:4" ht="12.75" x14ac:dyDescent="0.2">
      <c r="D895" s="2"/>
    </row>
    <row r="896" spans="4:4" ht="12.75" x14ac:dyDescent="0.2">
      <c r="D896" s="2"/>
    </row>
    <row r="897" spans="4:4" ht="12.75" x14ac:dyDescent="0.2">
      <c r="D897" s="2"/>
    </row>
    <row r="898" spans="4:4" ht="12.75" x14ac:dyDescent="0.2">
      <c r="D898" s="2"/>
    </row>
    <row r="899" spans="4:4" ht="12.75" x14ac:dyDescent="0.2">
      <c r="D899" s="2"/>
    </row>
    <row r="900" spans="4:4" ht="12.75" x14ac:dyDescent="0.2">
      <c r="D900" s="2"/>
    </row>
    <row r="901" spans="4:4" ht="12.75" x14ac:dyDescent="0.2">
      <c r="D901" s="2"/>
    </row>
    <row r="902" spans="4:4" ht="12.75" x14ac:dyDescent="0.2">
      <c r="D902" s="2"/>
    </row>
    <row r="903" spans="4:4" ht="12.75" x14ac:dyDescent="0.2">
      <c r="D903" s="2"/>
    </row>
    <row r="904" spans="4:4" ht="12.75" x14ac:dyDescent="0.2">
      <c r="D904" s="2"/>
    </row>
    <row r="905" spans="4:4" ht="12.75" x14ac:dyDescent="0.2">
      <c r="D905" s="2"/>
    </row>
    <row r="906" spans="4:4" ht="12.75" x14ac:dyDescent="0.2">
      <c r="D906" s="2"/>
    </row>
    <row r="907" spans="4:4" ht="12.75" x14ac:dyDescent="0.2">
      <c r="D907" s="2"/>
    </row>
    <row r="908" spans="4:4" ht="12.75" x14ac:dyDescent="0.2">
      <c r="D908" s="2"/>
    </row>
    <row r="909" spans="4:4" ht="12.75" x14ac:dyDescent="0.2">
      <c r="D909" s="2"/>
    </row>
    <row r="910" spans="4:4" ht="12.75" x14ac:dyDescent="0.2">
      <c r="D910" s="2"/>
    </row>
    <row r="911" spans="4:4" ht="12.75" x14ac:dyDescent="0.2">
      <c r="D911" s="2"/>
    </row>
    <row r="912" spans="4:4" ht="12.75" x14ac:dyDescent="0.2">
      <c r="D912" s="2"/>
    </row>
    <row r="913" spans="4:4" ht="12.75" x14ac:dyDescent="0.2">
      <c r="D913" s="2"/>
    </row>
    <row r="914" spans="4:4" ht="12.75" x14ac:dyDescent="0.2">
      <c r="D914" s="2"/>
    </row>
    <row r="915" spans="4:4" ht="12.75" x14ac:dyDescent="0.2">
      <c r="D915" s="2"/>
    </row>
    <row r="916" spans="4:4" ht="12.75" x14ac:dyDescent="0.2">
      <c r="D916" s="2"/>
    </row>
    <row r="917" spans="4:4" ht="12.75" x14ac:dyDescent="0.2">
      <c r="D917" s="2"/>
    </row>
    <row r="918" spans="4:4" ht="12.75" x14ac:dyDescent="0.2">
      <c r="D918" s="2"/>
    </row>
    <row r="919" spans="4:4" ht="12.75" x14ac:dyDescent="0.2">
      <c r="D919" s="2"/>
    </row>
    <row r="920" spans="4:4" ht="12.75" x14ac:dyDescent="0.2">
      <c r="D920" s="2"/>
    </row>
    <row r="921" spans="4:4" ht="12.75" x14ac:dyDescent="0.2">
      <c r="D921" s="2"/>
    </row>
    <row r="922" spans="4:4" ht="12.75" x14ac:dyDescent="0.2">
      <c r="D922" s="2"/>
    </row>
    <row r="923" spans="4:4" ht="12.75" x14ac:dyDescent="0.2">
      <c r="D923" s="2"/>
    </row>
    <row r="924" spans="4:4" ht="12.75" x14ac:dyDescent="0.2">
      <c r="D924" s="2"/>
    </row>
    <row r="925" spans="4:4" ht="12.75" x14ac:dyDescent="0.2">
      <c r="D925" s="2"/>
    </row>
    <row r="926" spans="4:4" ht="12.75" x14ac:dyDescent="0.2">
      <c r="D926" s="2"/>
    </row>
    <row r="927" spans="4:4" ht="12.75" x14ac:dyDescent="0.2">
      <c r="D927" s="2"/>
    </row>
    <row r="928" spans="4:4" ht="12.75" x14ac:dyDescent="0.2">
      <c r="D928" s="2"/>
    </row>
    <row r="929" spans="4:4" ht="12.75" x14ac:dyDescent="0.2">
      <c r="D929" s="2"/>
    </row>
    <row r="930" spans="4:4" ht="12.75" x14ac:dyDescent="0.2">
      <c r="D930" s="2"/>
    </row>
    <row r="931" spans="4:4" ht="12.75" x14ac:dyDescent="0.2">
      <c r="D931" s="2"/>
    </row>
    <row r="932" spans="4:4" ht="12.75" x14ac:dyDescent="0.2">
      <c r="D932" s="2"/>
    </row>
    <row r="933" spans="4:4" ht="12.75" x14ac:dyDescent="0.2">
      <c r="D933" s="2"/>
    </row>
    <row r="934" spans="4:4" ht="12.75" x14ac:dyDescent="0.2">
      <c r="D934" s="2"/>
    </row>
    <row r="935" spans="4:4" ht="12.75" x14ac:dyDescent="0.2">
      <c r="D935" s="2"/>
    </row>
    <row r="936" spans="4:4" ht="12.75" x14ac:dyDescent="0.2">
      <c r="D936" s="2"/>
    </row>
    <row r="937" spans="4:4" ht="12.75" x14ac:dyDescent="0.2">
      <c r="D937" s="2"/>
    </row>
    <row r="938" spans="4:4" ht="12.75" x14ac:dyDescent="0.2">
      <c r="D938" s="2"/>
    </row>
    <row r="939" spans="4:4" ht="12.75" x14ac:dyDescent="0.2">
      <c r="D939" s="2"/>
    </row>
    <row r="940" spans="4:4" ht="12.75" x14ac:dyDescent="0.2">
      <c r="D940" s="2"/>
    </row>
    <row r="941" spans="4:4" ht="12.75" x14ac:dyDescent="0.2">
      <c r="D941" s="2"/>
    </row>
    <row r="942" spans="4:4" ht="12.75" x14ac:dyDescent="0.2">
      <c r="D942" s="2"/>
    </row>
    <row r="943" spans="4:4" ht="12.75" x14ac:dyDescent="0.2">
      <c r="D943" s="2"/>
    </row>
    <row r="944" spans="4:4" ht="12.75" x14ac:dyDescent="0.2">
      <c r="D944" s="2"/>
    </row>
    <row r="945" spans="4:4" ht="12.75" x14ac:dyDescent="0.2">
      <c r="D945" s="2"/>
    </row>
    <row r="946" spans="4:4" ht="12.75" x14ac:dyDescent="0.2">
      <c r="D946" s="2"/>
    </row>
    <row r="947" spans="4:4" ht="12.75" x14ac:dyDescent="0.2">
      <c r="D947" s="2"/>
    </row>
    <row r="948" spans="4:4" ht="12.75" x14ac:dyDescent="0.2">
      <c r="D948" s="2"/>
    </row>
    <row r="949" spans="4:4" ht="12.75" x14ac:dyDescent="0.2">
      <c r="D949" s="2"/>
    </row>
    <row r="950" spans="4:4" ht="12.75" x14ac:dyDescent="0.2">
      <c r="D950" s="2"/>
    </row>
    <row r="951" spans="4:4" ht="12.75" x14ac:dyDescent="0.2">
      <c r="D951" s="2"/>
    </row>
    <row r="952" spans="4:4" ht="12.75" x14ac:dyDescent="0.2">
      <c r="D952" s="2"/>
    </row>
    <row r="953" spans="4:4" ht="12.75" x14ac:dyDescent="0.2">
      <c r="D953" s="2"/>
    </row>
    <row r="954" spans="4:4" ht="12.75" x14ac:dyDescent="0.2">
      <c r="D954" s="2"/>
    </row>
    <row r="955" spans="4:4" ht="12.75" x14ac:dyDescent="0.2">
      <c r="D955" s="2"/>
    </row>
    <row r="956" spans="4:4" ht="12.75" x14ac:dyDescent="0.2">
      <c r="D956" s="2"/>
    </row>
    <row r="957" spans="4:4" ht="12.75" x14ac:dyDescent="0.2">
      <c r="D957" s="2"/>
    </row>
    <row r="958" spans="4:4" ht="12.75" x14ac:dyDescent="0.2">
      <c r="D958" s="2"/>
    </row>
    <row r="959" spans="4:4" ht="12.75" x14ac:dyDescent="0.2">
      <c r="D959" s="2"/>
    </row>
    <row r="960" spans="4:4" ht="12.75" x14ac:dyDescent="0.2">
      <c r="D960" s="2"/>
    </row>
    <row r="961" spans="4:4" ht="12.75" x14ac:dyDescent="0.2">
      <c r="D961" s="2"/>
    </row>
    <row r="962" spans="4:4" ht="12.75" x14ac:dyDescent="0.2">
      <c r="D962" s="2"/>
    </row>
    <row r="963" spans="4:4" ht="12.75" x14ac:dyDescent="0.2">
      <c r="D963" s="2"/>
    </row>
    <row r="964" spans="4:4" ht="12.75" x14ac:dyDescent="0.2">
      <c r="D964" s="2"/>
    </row>
    <row r="965" spans="4:4" ht="12.75" x14ac:dyDescent="0.2">
      <c r="D965" s="2"/>
    </row>
    <row r="966" spans="4:4" ht="12.75" x14ac:dyDescent="0.2">
      <c r="D966" s="2"/>
    </row>
    <row r="967" spans="4:4" ht="12.75" x14ac:dyDescent="0.2">
      <c r="D967" s="2"/>
    </row>
    <row r="968" spans="4:4" ht="12.75" x14ac:dyDescent="0.2">
      <c r="D968" s="2"/>
    </row>
    <row r="969" spans="4:4" ht="12.75" x14ac:dyDescent="0.2">
      <c r="D969" s="2"/>
    </row>
    <row r="970" spans="4:4" ht="12.75" x14ac:dyDescent="0.2">
      <c r="D970" s="2"/>
    </row>
    <row r="971" spans="4:4" ht="12.75" x14ac:dyDescent="0.2">
      <c r="D971" s="2"/>
    </row>
    <row r="972" spans="4:4" ht="12.75" x14ac:dyDescent="0.2">
      <c r="D972" s="2"/>
    </row>
    <row r="973" spans="4:4" ht="12.75" x14ac:dyDescent="0.2">
      <c r="D973" s="2"/>
    </row>
    <row r="974" spans="4:4" ht="12.75" x14ac:dyDescent="0.2">
      <c r="D974" s="2"/>
    </row>
    <row r="975" spans="4:4" ht="12.75" x14ac:dyDescent="0.2">
      <c r="D975" s="2"/>
    </row>
    <row r="976" spans="4:4" ht="12.75" x14ac:dyDescent="0.2">
      <c r="D976" s="2"/>
    </row>
    <row r="977" spans="4:4" ht="12.75" x14ac:dyDescent="0.2">
      <c r="D977" s="2"/>
    </row>
    <row r="978" spans="4:4" ht="12.75" x14ac:dyDescent="0.2">
      <c r="D978" s="2"/>
    </row>
    <row r="979" spans="4:4" ht="12.75" x14ac:dyDescent="0.2">
      <c r="D979" s="2"/>
    </row>
    <row r="980" spans="4:4" ht="12.75" x14ac:dyDescent="0.2">
      <c r="D980" s="2"/>
    </row>
    <row r="981" spans="4:4" ht="12.75" x14ac:dyDescent="0.2">
      <c r="D981" s="2"/>
    </row>
    <row r="982" spans="4:4" ht="12.75" x14ac:dyDescent="0.2">
      <c r="D982" s="2"/>
    </row>
    <row r="983" spans="4:4" ht="12.75" x14ac:dyDescent="0.2">
      <c r="D983" s="2"/>
    </row>
    <row r="984" spans="4:4" ht="12.75" x14ac:dyDescent="0.2">
      <c r="D984" s="2"/>
    </row>
    <row r="985" spans="4:4" ht="12.75" x14ac:dyDescent="0.2">
      <c r="D985" s="2"/>
    </row>
    <row r="986" spans="4:4" ht="12.75" x14ac:dyDescent="0.2">
      <c r="D986" s="2"/>
    </row>
    <row r="987" spans="4:4" ht="12.75" x14ac:dyDescent="0.2">
      <c r="D987" s="2"/>
    </row>
    <row r="988" spans="4:4" ht="12.75" x14ac:dyDescent="0.2">
      <c r="D988" s="2"/>
    </row>
    <row r="989" spans="4:4" ht="12.75" x14ac:dyDescent="0.2">
      <c r="D989" s="2"/>
    </row>
    <row r="990" spans="4:4" ht="12.75" x14ac:dyDescent="0.2">
      <c r="D990" s="2"/>
    </row>
    <row r="991" spans="4:4" ht="12.75" x14ac:dyDescent="0.2">
      <c r="D991" s="2"/>
    </row>
    <row r="992" spans="4:4" ht="12.75" x14ac:dyDescent="0.2">
      <c r="D992" s="2"/>
    </row>
    <row r="993" spans="4:4" ht="12.75" x14ac:dyDescent="0.2">
      <c r="D993" s="2"/>
    </row>
    <row r="994" spans="4:4" ht="12.75" x14ac:dyDescent="0.2">
      <c r="D994" s="2"/>
    </row>
    <row r="995" spans="4:4" ht="12.75" x14ac:dyDescent="0.2">
      <c r="D995" s="2"/>
    </row>
    <row r="996" spans="4:4" ht="12.75" x14ac:dyDescent="0.2">
      <c r="D996" s="2"/>
    </row>
    <row r="997" spans="4:4" ht="12.75" x14ac:dyDescent="0.2">
      <c r="D997" s="2"/>
    </row>
    <row r="998" spans="4:4" ht="12.75" x14ac:dyDescent="0.2">
      <c r="D998" s="2"/>
    </row>
    <row r="999" spans="4:4" ht="12.75" x14ac:dyDescent="0.2">
      <c r="D999" s="2"/>
    </row>
    <row r="1000" spans="4:4" ht="12.75" x14ac:dyDescent="0.2">
      <c r="D1000" s="2"/>
    </row>
    <row r="1001" spans="4:4" ht="12.75" x14ac:dyDescent="0.2">
      <c r="D1001" s="2"/>
    </row>
    <row r="1002" spans="4:4" ht="12.75" x14ac:dyDescent="0.2">
      <c r="D1002" s="2"/>
    </row>
    <row r="1003" spans="4:4" ht="12.75" x14ac:dyDescent="0.2">
      <c r="D1003" s="2"/>
    </row>
    <row r="1004" spans="4:4" ht="12.75" x14ac:dyDescent="0.2">
      <c r="D1004" s="2"/>
    </row>
    <row r="1005" spans="4:4" ht="12.75" x14ac:dyDescent="0.2">
      <c r="D1005" s="2"/>
    </row>
    <row r="1006" spans="4:4" ht="12.75" x14ac:dyDescent="0.2">
      <c r="D1006" s="2"/>
    </row>
    <row r="1007" spans="4:4" ht="12.75" x14ac:dyDescent="0.2">
      <c r="D1007" s="2"/>
    </row>
    <row r="1008" spans="4:4" ht="12.75" x14ac:dyDescent="0.2">
      <c r="D100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5"/>
  <sheetViews>
    <sheetView workbookViewId="0"/>
  </sheetViews>
  <sheetFormatPr defaultColWidth="12.7109375" defaultRowHeight="15.75" customHeight="1" x14ac:dyDescent="0.2"/>
  <cols>
    <col min="3" max="3" width="15.7109375" customWidth="1"/>
  </cols>
  <sheetData>
    <row r="1" spans="1:5" ht="15.75" customHeight="1" x14ac:dyDescent="0.2">
      <c r="A1" s="4" t="s">
        <v>16</v>
      </c>
      <c r="B1" s="4" t="s">
        <v>17</v>
      </c>
      <c r="C1" s="5" t="s">
        <v>18</v>
      </c>
      <c r="D1" s="5" t="s">
        <v>19</v>
      </c>
      <c r="E1" s="3" t="s">
        <v>20</v>
      </c>
    </row>
    <row r="2" spans="1:5" ht="15.75" customHeight="1" x14ac:dyDescent="0.2">
      <c r="A2" s="3">
        <v>1968</v>
      </c>
      <c r="B2" s="6">
        <v>28.132280000000002</v>
      </c>
      <c r="C2" s="3">
        <v>4.2699999999999996</v>
      </c>
      <c r="D2" s="3">
        <f>Macrohistory!F2</f>
        <v>24.177160000000001</v>
      </c>
      <c r="E2" s="3">
        <f t="shared" ref="E2:E54" si="0">(D2/B2)*100</f>
        <v>85.940990207690234</v>
      </c>
    </row>
    <row r="3" spans="1:5" ht="15.75" customHeight="1" x14ac:dyDescent="0.2">
      <c r="A3" s="3">
        <v>1969</v>
      </c>
      <c r="B3" s="6">
        <v>29.661860000000001</v>
      </c>
      <c r="C3" s="3">
        <f t="shared" ref="C3:C54" si="1">((B3-B2)/B2)*100</f>
        <v>5.4370993037180035</v>
      </c>
      <c r="D3" s="3">
        <f>Macrohistory!F3</f>
        <v>25.748480000000001</v>
      </c>
      <c r="E3" s="3">
        <f t="shared" si="0"/>
        <v>86.80669384859884</v>
      </c>
    </row>
    <row r="4" spans="1:5" ht="15.75" customHeight="1" x14ac:dyDescent="0.2">
      <c r="A4" s="3">
        <v>1970</v>
      </c>
      <c r="B4" s="6">
        <v>31.407080000000001</v>
      </c>
      <c r="C4" s="3">
        <f t="shared" si="1"/>
        <v>5.8837173393711648</v>
      </c>
      <c r="D4" s="3">
        <f>Macrohistory!F4</f>
        <v>27.8155</v>
      </c>
      <c r="E4" s="3">
        <f t="shared" si="0"/>
        <v>88.564425600851777</v>
      </c>
    </row>
    <row r="5" spans="1:5" ht="15.75" customHeight="1" x14ac:dyDescent="0.2">
      <c r="A5" s="3">
        <v>1971</v>
      </c>
      <c r="B5" s="6">
        <v>32.734520000000003</v>
      </c>
      <c r="C5" s="3">
        <f t="shared" si="1"/>
        <v>4.2265629278493986</v>
      </c>
      <c r="D5" s="3">
        <f>Macrohistory!F5</f>
        <v>29.35155</v>
      </c>
      <c r="E5" s="3">
        <f t="shared" si="0"/>
        <v>89.665435754060226</v>
      </c>
    </row>
    <row r="6" spans="1:5" ht="15.75" customHeight="1" x14ac:dyDescent="0.2">
      <c r="A6" s="3">
        <v>1972</v>
      </c>
      <c r="B6" s="6">
        <v>33.805900000000001</v>
      </c>
      <c r="C6" s="3">
        <f t="shared" si="1"/>
        <v>3.2729363375421352</v>
      </c>
      <c r="D6" s="3">
        <f>Macrohistory!F6</f>
        <v>30.564330000000002</v>
      </c>
      <c r="E6" s="3">
        <f t="shared" si="0"/>
        <v>90.411229992397779</v>
      </c>
    </row>
    <row r="7" spans="1:5" ht="15.75" customHeight="1" x14ac:dyDescent="0.2">
      <c r="A7" s="3">
        <v>1973</v>
      </c>
      <c r="B7" s="6">
        <v>35.921720000000001</v>
      </c>
      <c r="C7" s="3">
        <f t="shared" si="1"/>
        <v>6.2587299850026161</v>
      </c>
      <c r="D7" s="3">
        <f>Macrohistory!F7</f>
        <v>31.199120000000001</v>
      </c>
      <c r="E7" s="3">
        <f t="shared" si="0"/>
        <v>86.853079418246111</v>
      </c>
    </row>
    <row r="8" spans="1:5" ht="15.75" customHeight="1" x14ac:dyDescent="0.2">
      <c r="A8" s="3">
        <v>1974</v>
      </c>
      <c r="B8" s="6">
        <v>39.877079999999999</v>
      </c>
      <c r="C8" s="3">
        <f t="shared" si="1"/>
        <v>11.011054036388011</v>
      </c>
      <c r="D8" s="3">
        <f>Macrohistory!F8</f>
        <v>33.550220000000003</v>
      </c>
      <c r="E8" s="3">
        <f t="shared" si="0"/>
        <v>84.13409407108044</v>
      </c>
    </row>
    <row r="9" spans="1:5" ht="15.75" customHeight="1" x14ac:dyDescent="0.2">
      <c r="A9" s="3">
        <v>1975</v>
      </c>
      <c r="B9" s="6">
        <v>43.522489999999998</v>
      </c>
      <c r="C9" s="3">
        <f t="shared" si="1"/>
        <v>9.1416171896237088</v>
      </c>
      <c r="D9" s="3">
        <f>Macrohistory!F9</f>
        <v>37.078429999999997</v>
      </c>
      <c r="E9" s="3">
        <f t="shared" si="0"/>
        <v>85.19372398040646</v>
      </c>
    </row>
    <row r="10" spans="1:5" ht="15.75" customHeight="1" x14ac:dyDescent="0.2">
      <c r="A10" s="3">
        <v>1976</v>
      </c>
      <c r="B10" s="6">
        <v>46.03586</v>
      </c>
      <c r="C10" s="3">
        <f t="shared" si="1"/>
        <v>5.7748763914932306</v>
      </c>
      <c r="D10" s="3">
        <f>Macrohistory!F10</f>
        <v>39.817120000000003</v>
      </c>
      <c r="E10" s="3">
        <f t="shared" si="0"/>
        <v>86.49153073278093</v>
      </c>
    </row>
    <row r="11" spans="1:5" ht="15.75" customHeight="1" x14ac:dyDescent="0.2">
      <c r="A11" s="3">
        <v>1977</v>
      </c>
      <c r="B11" s="6">
        <v>49.014180000000003</v>
      </c>
      <c r="C11" s="3">
        <f t="shared" si="1"/>
        <v>6.4695652476134988</v>
      </c>
      <c r="D11" s="3">
        <f>Macrohistory!F11</f>
        <v>44.525660000000002</v>
      </c>
      <c r="E11" s="3">
        <f t="shared" si="0"/>
        <v>90.842405197842751</v>
      </c>
    </row>
    <row r="12" spans="1:5" ht="15.75" customHeight="1" x14ac:dyDescent="0.2">
      <c r="A12" s="3">
        <v>1978</v>
      </c>
      <c r="B12" s="6">
        <v>52.753920000000001</v>
      </c>
      <c r="C12" s="3">
        <f t="shared" si="1"/>
        <v>7.6299144451666789</v>
      </c>
      <c r="D12" s="3">
        <f>Macrohistory!F12</f>
        <v>50.793100000000003</v>
      </c>
      <c r="E12" s="3">
        <f t="shared" si="0"/>
        <v>96.28308190178096</v>
      </c>
    </row>
    <row r="13" spans="1:5" ht="15.75" customHeight="1" x14ac:dyDescent="0.2">
      <c r="A13" s="3">
        <v>1979</v>
      </c>
      <c r="B13" s="6">
        <v>57.756439999999998</v>
      </c>
      <c r="C13" s="3">
        <f t="shared" si="1"/>
        <v>9.48274554762944</v>
      </c>
      <c r="D13" s="3">
        <f>Macrohistory!F13</f>
        <v>57.683790000000002</v>
      </c>
      <c r="E13" s="3">
        <f t="shared" si="0"/>
        <v>99.874213161337508</v>
      </c>
    </row>
    <row r="14" spans="1:5" ht="15.75" customHeight="1" x14ac:dyDescent="0.2">
      <c r="A14" s="3">
        <v>1980</v>
      </c>
      <c r="B14" s="6">
        <v>64.224360000000004</v>
      </c>
      <c r="C14" s="3">
        <f t="shared" si="1"/>
        <v>11.198612656874293</v>
      </c>
      <c r="D14" s="3">
        <f>Macrohistory!F14</f>
        <v>62.28163</v>
      </c>
      <c r="E14" s="3">
        <f t="shared" si="0"/>
        <v>96.975088580096397</v>
      </c>
    </row>
    <row r="15" spans="1:5" ht="15.75" customHeight="1" x14ac:dyDescent="0.2">
      <c r="A15" s="3">
        <v>1981</v>
      </c>
      <c r="B15" s="6">
        <v>70.288020000000003</v>
      </c>
      <c r="C15" s="3">
        <f t="shared" si="1"/>
        <v>9.4413708443338287</v>
      </c>
      <c r="D15" s="3">
        <f>Macrohistory!F15</f>
        <v>65.416110000000003</v>
      </c>
      <c r="E15" s="3">
        <f t="shared" si="0"/>
        <v>93.068648113860647</v>
      </c>
    </row>
    <row r="16" spans="1:5" ht="15.75" customHeight="1" x14ac:dyDescent="0.2">
      <c r="A16" s="3">
        <v>1982</v>
      </c>
      <c r="B16" s="6">
        <v>74.532589999999999</v>
      </c>
      <c r="C16" s="3">
        <f t="shared" si="1"/>
        <v>6.0388242548303337</v>
      </c>
      <c r="D16" s="3">
        <f>Macrohistory!F16</f>
        <v>67.563389999999998</v>
      </c>
      <c r="E16" s="3">
        <f t="shared" si="0"/>
        <v>90.649459518312725</v>
      </c>
    </row>
    <row r="17" spans="1:5" ht="15.75" customHeight="1" x14ac:dyDescent="0.2">
      <c r="A17" s="3">
        <v>1983</v>
      </c>
      <c r="B17" s="6">
        <v>77.71602</v>
      </c>
      <c r="C17" s="3">
        <f t="shared" si="1"/>
        <v>4.2711919711900546</v>
      </c>
      <c r="D17" s="3">
        <f>Macrohistory!F17</f>
        <v>70.18683</v>
      </c>
      <c r="E17" s="3">
        <f t="shared" si="0"/>
        <v>90.311920245015116</v>
      </c>
    </row>
    <row r="18" spans="1:5" ht="15.75" customHeight="1" x14ac:dyDescent="0.2">
      <c r="A18" s="3">
        <v>1984</v>
      </c>
      <c r="B18" s="6">
        <v>80.949969999999993</v>
      </c>
      <c r="C18" s="3">
        <f t="shared" si="1"/>
        <v>4.161239857625227</v>
      </c>
      <c r="D18" s="3">
        <f>Macrohistory!F18</f>
        <v>73.215149999999994</v>
      </c>
      <c r="E18" s="3">
        <f t="shared" si="0"/>
        <v>90.444937780705786</v>
      </c>
    </row>
    <row r="19" spans="1:5" ht="15.75" customHeight="1" x14ac:dyDescent="0.2">
      <c r="A19" s="3">
        <v>1985</v>
      </c>
      <c r="B19" s="6">
        <v>83.729159999999993</v>
      </c>
      <c r="C19" s="3">
        <f t="shared" si="1"/>
        <v>3.4332193081726898</v>
      </c>
      <c r="D19" s="3">
        <f>Macrohistory!F19</f>
        <v>76.957719999999995</v>
      </c>
      <c r="E19" s="3">
        <f t="shared" si="0"/>
        <v>91.912686094068064</v>
      </c>
    </row>
    <row r="20" spans="1:5" ht="15.75" customHeight="1" x14ac:dyDescent="0.2">
      <c r="A20" s="3">
        <v>1986</v>
      </c>
      <c r="B20" s="6">
        <v>85.194540000000003</v>
      </c>
      <c r="C20" s="3">
        <f t="shared" si="1"/>
        <v>1.7501429609469517</v>
      </c>
      <c r="D20" s="3">
        <f>Macrohistory!F20</f>
        <v>82.171239999999997</v>
      </c>
      <c r="E20" s="3">
        <f t="shared" si="0"/>
        <v>96.451298404803865</v>
      </c>
    </row>
    <row r="21" spans="1:5" ht="15.75" customHeight="1" x14ac:dyDescent="0.2">
      <c r="A21" s="3">
        <v>1987</v>
      </c>
      <c r="B21" s="6">
        <v>88.125320000000002</v>
      </c>
      <c r="C21" s="3">
        <f t="shared" si="1"/>
        <v>3.4401030864184472</v>
      </c>
      <c r="D21" s="3">
        <f>Macrohistory!F21</f>
        <v>87.449960000000004</v>
      </c>
      <c r="E21" s="3">
        <f t="shared" si="0"/>
        <v>99.233636825375498</v>
      </c>
    </row>
    <row r="22" spans="1:5" ht="15.75" customHeight="1" x14ac:dyDescent="0.2">
      <c r="A22" s="3">
        <v>1988</v>
      </c>
      <c r="B22" s="6">
        <v>91.30874</v>
      </c>
      <c r="C22" s="3">
        <f t="shared" si="1"/>
        <v>3.6123783720728593</v>
      </c>
      <c r="D22" s="3">
        <f>Macrohistory!F22</f>
        <v>92.122100000000003</v>
      </c>
      <c r="E22" s="3">
        <f t="shared" si="0"/>
        <v>100.89078000638274</v>
      </c>
    </row>
    <row r="23" spans="1:5" ht="15.75" customHeight="1" x14ac:dyDescent="0.2">
      <c r="A23" s="3">
        <v>1989</v>
      </c>
      <c r="B23" s="6">
        <v>95.300659999999993</v>
      </c>
      <c r="C23" s="3">
        <f t="shared" si="1"/>
        <v>4.3718925482927409</v>
      </c>
      <c r="D23" s="3">
        <f>Macrohistory!F23</f>
        <v>96.982290000000006</v>
      </c>
      <c r="E23" s="3">
        <f t="shared" si="0"/>
        <v>101.76455231264927</v>
      </c>
    </row>
    <row r="24" spans="1:5" ht="15.75" customHeight="1" x14ac:dyDescent="0.2">
      <c r="A24" s="3">
        <v>1990</v>
      </c>
      <c r="B24" s="6">
        <v>100</v>
      </c>
      <c r="C24" s="3">
        <f t="shared" si="1"/>
        <v>4.9310676337393753</v>
      </c>
      <c r="D24" s="3">
        <f>Macrohistory!F24</f>
        <v>100</v>
      </c>
      <c r="E24" s="3">
        <f t="shared" si="0"/>
        <v>100</v>
      </c>
    </row>
    <row r="25" spans="1:5" ht="15.75" customHeight="1" x14ac:dyDescent="0.2">
      <c r="A25" s="3">
        <v>1991</v>
      </c>
      <c r="B25" s="6">
        <v>103.6382</v>
      </c>
      <c r="C25" s="3">
        <f t="shared" si="1"/>
        <v>3.6381999999999977</v>
      </c>
      <c r="D25" s="3">
        <f>Macrohistory!F25</f>
        <v>101.90309999999999</v>
      </c>
      <c r="E25" s="3">
        <f t="shared" si="0"/>
        <v>98.325810367219802</v>
      </c>
    </row>
    <row r="26" spans="1:5" ht="15.75" customHeight="1" x14ac:dyDescent="0.2">
      <c r="A26" s="3">
        <v>1992</v>
      </c>
      <c r="B26" s="6">
        <v>106.2153</v>
      </c>
      <c r="C26" s="3">
        <f t="shared" si="1"/>
        <v>2.4866313772334925</v>
      </c>
      <c r="D26" s="3">
        <f>Macrohistory!F26</f>
        <v>104.74039999999999</v>
      </c>
      <c r="E26" s="3">
        <f t="shared" si="0"/>
        <v>98.61140532484491</v>
      </c>
    </row>
    <row r="27" spans="1:5" ht="15.75" customHeight="1" x14ac:dyDescent="0.2">
      <c r="A27" s="3">
        <v>1993</v>
      </c>
      <c r="B27" s="6">
        <v>108.8934</v>
      </c>
      <c r="C27" s="3">
        <f t="shared" si="1"/>
        <v>2.5213881615925393</v>
      </c>
      <c r="D27" s="3">
        <f>Macrohistory!F27</f>
        <v>107.1758</v>
      </c>
      <c r="E27" s="3">
        <f t="shared" si="0"/>
        <v>98.422677591112034</v>
      </c>
    </row>
    <row r="28" spans="1:5" ht="15.75" customHeight="1" x14ac:dyDescent="0.2">
      <c r="A28" s="3">
        <v>1994</v>
      </c>
      <c r="B28" s="6">
        <v>111.1673</v>
      </c>
      <c r="C28" s="3">
        <f t="shared" si="1"/>
        <v>2.0881889995169565</v>
      </c>
      <c r="D28" s="3">
        <f>Macrohistory!F28</f>
        <v>109.919</v>
      </c>
      <c r="E28" s="3">
        <f t="shared" si="0"/>
        <v>98.87709785161644</v>
      </c>
    </row>
    <row r="29" spans="1:5" ht="15.75" customHeight="1" x14ac:dyDescent="0.2">
      <c r="A29" s="3">
        <v>1995</v>
      </c>
      <c r="B29" s="6">
        <v>113.8454</v>
      </c>
      <c r="C29" s="3">
        <f t="shared" si="1"/>
        <v>2.4090717324249131</v>
      </c>
      <c r="D29" s="3">
        <f>Macrohistory!F29</f>
        <v>113.2688</v>
      </c>
      <c r="E29" s="3">
        <f t="shared" si="0"/>
        <v>99.493523673332433</v>
      </c>
    </row>
    <row r="30" spans="1:5" ht="15.75" customHeight="1" x14ac:dyDescent="0.2">
      <c r="A30" s="3">
        <v>1996</v>
      </c>
      <c r="B30" s="6">
        <v>116.8772</v>
      </c>
      <c r="C30" s="3">
        <f t="shared" si="1"/>
        <v>2.6630852015101216</v>
      </c>
      <c r="D30" s="3">
        <f>Macrohistory!F30</f>
        <v>117.20399999999999</v>
      </c>
      <c r="E30" s="3">
        <f t="shared" si="0"/>
        <v>100.27960971002044</v>
      </c>
    </row>
    <row r="31" spans="1:5" ht="15.75" customHeight="1" x14ac:dyDescent="0.2">
      <c r="A31" s="3">
        <v>1997</v>
      </c>
      <c r="B31" s="6">
        <v>119.4037</v>
      </c>
      <c r="C31" s="3">
        <f t="shared" si="1"/>
        <v>2.1616705396775409</v>
      </c>
      <c r="D31" s="3">
        <f>Macrohistory!F31</f>
        <v>121.1558</v>
      </c>
      <c r="E31" s="3">
        <f t="shared" si="0"/>
        <v>101.4673749640924</v>
      </c>
    </row>
    <row r="32" spans="1:5" ht="15.75" customHeight="1" x14ac:dyDescent="0.2">
      <c r="A32" s="3">
        <v>1998</v>
      </c>
      <c r="B32" s="6">
        <v>121.02070000000001</v>
      </c>
      <c r="C32" s="3">
        <f t="shared" si="1"/>
        <v>1.3542293915515218</v>
      </c>
      <c r="D32" s="3">
        <f>Macrohistory!F32</f>
        <v>127.3717</v>
      </c>
      <c r="E32" s="3">
        <f t="shared" si="0"/>
        <v>105.24786255574459</v>
      </c>
    </row>
    <row r="33" spans="1:5" ht="15.75" customHeight="1" x14ac:dyDescent="0.2">
      <c r="A33" s="3">
        <v>1999</v>
      </c>
      <c r="B33" s="6">
        <v>123.59780000000001</v>
      </c>
      <c r="C33" s="3">
        <f t="shared" si="1"/>
        <v>2.1294704129128332</v>
      </c>
      <c r="D33" s="3">
        <f>Macrohistory!F33</f>
        <v>133.63910000000001</v>
      </c>
      <c r="E33" s="3">
        <f t="shared" si="0"/>
        <v>108.12417373124765</v>
      </c>
    </row>
    <row r="34" spans="1:5" ht="15.75" customHeight="1" x14ac:dyDescent="0.2">
      <c r="A34" s="3">
        <v>2000</v>
      </c>
      <c r="B34" s="6">
        <v>127.79179999999999</v>
      </c>
      <c r="C34" s="3">
        <f t="shared" si="1"/>
        <v>3.3932642814030576</v>
      </c>
      <c r="D34" s="3">
        <f>Macrohistory!F34</f>
        <v>142.18430000000001</v>
      </c>
      <c r="E34" s="3">
        <f t="shared" si="0"/>
        <v>111.26245971963773</v>
      </c>
    </row>
    <row r="35" spans="1:5" ht="15.75" customHeight="1" x14ac:dyDescent="0.2">
      <c r="A35" s="3">
        <v>2001</v>
      </c>
      <c r="B35" s="6">
        <v>131.43</v>
      </c>
      <c r="C35" s="3">
        <f t="shared" si="1"/>
        <v>2.8469745320122355</v>
      </c>
      <c r="D35" s="3">
        <f>Macrohistory!F35</f>
        <v>152.80539999999999</v>
      </c>
      <c r="E35" s="3">
        <f t="shared" si="0"/>
        <v>116.2637145248421</v>
      </c>
    </row>
    <row r="36" spans="1:5" ht="15.75" customHeight="1" x14ac:dyDescent="0.2">
      <c r="A36" s="3">
        <v>2002</v>
      </c>
      <c r="B36" s="6">
        <v>133.5018</v>
      </c>
      <c r="C36" s="3">
        <f t="shared" si="1"/>
        <v>1.5763524309518342</v>
      </c>
      <c r="D36" s="3">
        <f>Macrohistory!F36</f>
        <v>162.48330000000001</v>
      </c>
      <c r="E36" s="3">
        <f t="shared" si="0"/>
        <v>121.70869606252501</v>
      </c>
    </row>
    <row r="37" spans="1:5" ht="15.75" customHeight="1" x14ac:dyDescent="0.2">
      <c r="A37" s="3">
        <v>2003</v>
      </c>
      <c r="B37" s="6">
        <v>136.53360000000001</v>
      </c>
      <c r="C37" s="3">
        <f t="shared" si="1"/>
        <v>2.2709806159916974</v>
      </c>
      <c r="D37" s="3">
        <f>Macrohistory!F37</f>
        <v>172.58580000000001</v>
      </c>
      <c r="E37" s="3">
        <f t="shared" si="0"/>
        <v>126.40536834888994</v>
      </c>
    </row>
    <row r="38" spans="1:5" ht="15.75" customHeight="1" x14ac:dyDescent="0.2">
      <c r="A38" s="3">
        <v>2004</v>
      </c>
      <c r="B38" s="6">
        <v>140.22229999999999</v>
      </c>
      <c r="C38" s="3">
        <f t="shared" si="1"/>
        <v>2.701679293595117</v>
      </c>
      <c r="D38" s="3">
        <f>Macrohistory!F38</f>
        <v>188.6661</v>
      </c>
      <c r="E38" s="3">
        <f t="shared" si="0"/>
        <v>134.547857223851</v>
      </c>
    </row>
    <row r="39" spans="1:5" ht="15.75" customHeight="1" x14ac:dyDescent="0.2">
      <c r="A39" s="3">
        <v>2005</v>
      </c>
      <c r="B39" s="6">
        <v>144.97219999999999</v>
      </c>
      <c r="C39" s="3">
        <f t="shared" si="1"/>
        <v>3.3874069958915216</v>
      </c>
      <c r="D39" s="3">
        <f>Macrohistory!F39</f>
        <v>209.98419999999999</v>
      </c>
      <c r="E39" s="3">
        <f t="shared" si="0"/>
        <v>144.84445983436825</v>
      </c>
    </row>
    <row r="40" spans="1:5" ht="15.75" customHeight="1" x14ac:dyDescent="0.2">
      <c r="A40" s="3">
        <v>2006</v>
      </c>
      <c r="B40" s="6">
        <v>149.67160000000001</v>
      </c>
      <c r="C40" s="3">
        <f t="shared" si="1"/>
        <v>3.2415870077159799</v>
      </c>
      <c r="D40" s="3">
        <f>Macrohistory!F40</f>
        <v>225.10310000000001</v>
      </c>
      <c r="E40" s="3">
        <f t="shared" si="0"/>
        <v>150.39800469828612</v>
      </c>
    </row>
    <row r="41" spans="1:5" ht="15.75" customHeight="1" x14ac:dyDescent="0.2">
      <c r="A41" s="3">
        <v>2007</v>
      </c>
      <c r="B41" s="6">
        <v>153.9161</v>
      </c>
      <c r="C41" s="3">
        <f t="shared" si="1"/>
        <v>2.8358753430844512</v>
      </c>
      <c r="D41" s="3">
        <f>Macrohistory!F41</f>
        <v>227.8115</v>
      </c>
      <c r="E41" s="3">
        <f t="shared" si="0"/>
        <v>148.0101821706761</v>
      </c>
    </row>
    <row r="42" spans="1:5" ht="15.75" customHeight="1" x14ac:dyDescent="0.2">
      <c r="A42" s="3">
        <v>2008</v>
      </c>
      <c r="B42" s="6">
        <v>159.82820000000001</v>
      </c>
      <c r="C42" s="3">
        <f t="shared" si="1"/>
        <v>3.8411186354124158</v>
      </c>
      <c r="D42" s="3">
        <f>Macrohistory!F42</f>
        <v>217.00839999999999</v>
      </c>
      <c r="E42" s="3">
        <f t="shared" si="0"/>
        <v>135.7760395224372</v>
      </c>
    </row>
    <row r="43" spans="1:5" ht="15.75" customHeight="1" x14ac:dyDescent="0.2">
      <c r="A43" s="3">
        <v>2009</v>
      </c>
      <c r="B43" s="6">
        <v>159.2724</v>
      </c>
      <c r="C43" s="3">
        <f t="shared" si="1"/>
        <v>-0.34774839483896142</v>
      </c>
      <c r="D43" s="3">
        <f>Macrohistory!F43</f>
        <v>205.5214</v>
      </c>
      <c r="E43" s="3">
        <f t="shared" si="0"/>
        <v>129.0376738217042</v>
      </c>
    </row>
    <row r="44" spans="1:5" ht="15.75" customHeight="1" x14ac:dyDescent="0.2">
      <c r="A44" s="3">
        <v>2010</v>
      </c>
      <c r="B44" s="6">
        <v>161.8999</v>
      </c>
      <c r="C44" s="3">
        <f t="shared" si="1"/>
        <v>1.6496894628322281</v>
      </c>
      <c r="D44" s="3">
        <f>Macrohistory!F44</f>
        <v>197.49180000000001</v>
      </c>
      <c r="E44" s="3">
        <f t="shared" si="0"/>
        <v>121.98389251630175</v>
      </c>
    </row>
    <row r="45" spans="1:5" ht="15.75" customHeight="1" x14ac:dyDescent="0.2">
      <c r="A45" s="3">
        <v>2011</v>
      </c>
      <c r="B45" s="6">
        <v>167.0035</v>
      </c>
      <c r="C45" s="3">
        <f t="shared" si="1"/>
        <v>3.1523181916727561</v>
      </c>
      <c r="D45" s="3">
        <f>Macrohistory!F45</f>
        <v>190.36150000000001</v>
      </c>
      <c r="E45" s="3">
        <f t="shared" si="0"/>
        <v>113.98653321636971</v>
      </c>
    </row>
    <row r="46" spans="1:5" ht="15.75" customHeight="1" x14ac:dyDescent="0.2">
      <c r="A46" s="3">
        <v>2012</v>
      </c>
      <c r="B46" s="6">
        <v>170.54069999999999</v>
      </c>
      <c r="C46" s="3">
        <f t="shared" si="1"/>
        <v>2.1180394422871283</v>
      </c>
      <c r="D46" s="3">
        <f>Macrohistory!F46</f>
        <v>190.2432</v>
      </c>
      <c r="E46" s="3">
        <f t="shared" si="0"/>
        <v>111.55296067155818</v>
      </c>
    </row>
    <row r="47" spans="1:5" ht="15.75" customHeight="1" x14ac:dyDescent="0.2">
      <c r="A47" s="3">
        <v>2013</v>
      </c>
      <c r="B47" s="6">
        <v>173.06720000000001</v>
      </c>
      <c r="C47" s="3">
        <f t="shared" si="1"/>
        <v>1.4814645418952939</v>
      </c>
      <c r="D47" s="3">
        <f>Macrohistory!F47</f>
        <v>204.31720000000001</v>
      </c>
      <c r="E47" s="3">
        <f t="shared" si="0"/>
        <v>118.05656993352871</v>
      </c>
    </row>
    <row r="48" spans="1:5" ht="15.75" customHeight="1" x14ac:dyDescent="0.2">
      <c r="A48" s="3">
        <v>2014</v>
      </c>
      <c r="B48" s="6">
        <v>175.99799999999999</v>
      </c>
      <c r="C48" s="3">
        <f t="shared" si="1"/>
        <v>1.6934462451579364</v>
      </c>
      <c r="D48" s="3">
        <f>Macrohistory!F48</f>
        <v>214.7139</v>
      </c>
      <c r="E48" s="3">
        <f t="shared" si="0"/>
        <v>121.99792043091399</v>
      </c>
    </row>
    <row r="49" spans="1:5" ht="15.75" customHeight="1" x14ac:dyDescent="0.2">
      <c r="A49" s="3">
        <v>2015</v>
      </c>
      <c r="B49" s="6">
        <v>176.30119999999999</v>
      </c>
      <c r="C49" s="3">
        <f t="shared" si="1"/>
        <v>0.17227468493960382</v>
      </c>
      <c r="D49" s="3">
        <f>Macrohistory!F49</f>
        <v>226.0146</v>
      </c>
      <c r="E49" s="3">
        <f t="shared" si="0"/>
        <v>128.19799298019524</v>
      </c>
    </row>
    <row r="50" spans="1:5" ht="15.75" customHeight="1" x14ac:dyDescent="0.2">
      <c r="A50" s="3">
        <v>2016</v>
      </c>
      <c r="B50" s="6">
        <v>178.57499999999999</v>
      </c>
      <c r="C50" s="3">
        <f t="shared" si="1"/>
        <v>1.2897246303485139</v>
      </c>
      <c r="D50" s="3">
        <f>Macrohistory!F50</f>
        <v>238.75579999999999</v>
      </c>
      <c r="E50" s="3">
        <f t="shared" si="0"/>
        <v>133.70057398852023</v>
      </c>
    </row>
    <row r="51" spans="1:5" ht="15.75" customHeight="1" x14ac:dyDescent="0.2">
      <c r="A51" s="3">
        <v>2017</v>
      </c>
      <c r="B51" s="6">
        <v>182.41540000000001</v>
      </c>
      <c r="C51" s="3">
        <f t="shared" si="1"/>
        <v>2.1505809883802418</v>
      </c>
      <c r="D51" s="3">
        <f>Macrohistory!F51</f>
        <v>253.52209999999999</v>
      </c>
      <c r="E51" s="3">
        <f t="shared" si="0"/>
        <v>138.98064527446695</v>
      </c>
    </row>
    <row r="52" spans="1:5" ht="15.75" customHeight="1" x14ac:dyDescent="0.2">
      <c r="A52" s="3">
        <v>2018</v>
      </c>
      <c r="B52" s="6">
        <v>186.8621</v>
      </c>
      <c r="C52" s="3">
        <f t="shared" si="1"/>
        <v>2.4376779592073872</v>
      </c>
      <c r="D52" s="3">
        <f>Macrohistory!F52</f>
        <v>269.28129999999999</v>
      </c>
      <c r="E52" s="3">
        <f t="shared" si="0"/>
        <v>144.10696444062225</v>
      </c>
    </row>
    <row r="53" spans="1:5" ht="15.75" customHeight="1" x14ac:dyDescent="0.2">
      <c r="A53" s="3">
        <v>2019</v>
      </c>
      <c r="B53" s="6">
        <v>190.24760000000001</v>
      </c>
      <c r="C53" s="3">
        <f t="shared" si="1"/>
        <v>1.8117638622278178</v>
      </c>
      <c r="D53" s="3">
        <f>Macrohistory!F53</f>
        <v>282.9864</v>
      </c>
      <c r="E53" s="3">
        <f t="shared" si="0"/>
        <v>148.74637051926015</v>
      </c>
    </row>
    <row r="54" spans="1:5" ht="12.75" x14ac:dyDescent="0.2">
      <c r="A54" s="3">
        <v>2020</v>
      </c>
      <c r="B54" s="6">
        <v>192.6225</v>
      </c>
      <c r="C54" s="3">
        <f t="shared" si="1"/>
        <v>1.2483206095635353</v>
      </c>
      <c r="D54" s="3">
        <f>Macrohistory!F54</f>
        <v>305.22149999999999</v>
      </c>
      <c r="E54" s="3">
        <f t="shared" si="0"/>
        <v>158.45578787524821</v>
      </c>
    </row>
    <row r="55" spans="1:5" ht="12.75" x14ac:dyDescent="0.2">
      <c r="A55" s="1"/>
      <c r="B55" s="1"/>
      <c r="D55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H1008"/>
  <sheetViews>
    <sheetView workbookViewId="0">
      <selection activeCell="C3" sqref="C3"/>
    </sheetView>
  </sheetViews>
  <sheetFormatPr defaultColWidth="12.7109375" defaultRowHeight="15.75" customHeight="1" x14ac:dyDescent="0.2"/>
  <cols>
    <col min="2" max="3" width="25.7109375" customWidth="1"/>
  </cols>
  <sheetData>
    <row r="1" spans="1:60" ht="15.75" customHeight="1" x14ac:dyDescent="0.2">
      <c r="A1" s="7" t="s">
        <v>21</v>
      </c>
      <c r="B1" s="5" t="s">
        <v>85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5" t="s">
        <v>33</v>
      </c>
      <c r="O1" s="5" t="s">
        <v>34</v>
      </c>
      <c r="P1" s="5" t="s">
        <v>35</v>
      </c>
      <c r="Q1" s="5" t="s">
        <v>36</v>
      </c>
      <c r="R1" s="5" t="s">
        <v>37</v>
      </c>
      <c r="S1" s="5" t="s">
        <v>38</v>
      </c>
      <c r="T1" s="5" t="s">
        <v>39</v>
      </c>
      <c r="U1" s="5" t="s">
        <v>40</v>
      </c>
      <c r="V1" s="5" t="s">
        <v>41</v>
      </c>
      <c r="W1" s="5" t="s">
        <v>42</v>
      </c>
      <c r="X1" s="5" t="s">
        <v>43</v>
      </c>
      <c r="Y1" s="5" t="s">
        <v>44</v>
      </c>
      <c r="Z1" s="5" t="s">
        <v>45</v>
      </c>
      <c r="AA1" s="5" t="s">
        <v>46</v>
      </c>
      <c r="AB1" s="5" t="s">
        <v>47</v>
      </c>
      <c r="AC1" s="5" t="s">
        <v>48</v>
      </c>
      <c r="AD1" s="5" t="s">
        <v>49</v>
      </c>
      <c r="AE1" s="5" t="s">
        <v>50</v>
      </c>
      <c r="AF1" s="5" t="s">
        <v>51</v>
      </c>
      <c r="AG1" s="5" t="s">
        <v>52</v>
      </c>
      <c r="AH1" s="5" t="s">
        <v>53</v>
      </c>
      <c r="AI1" s="5" t="s">
        <v>54</v>
      </c>
      <c r="AJ1" s="5" t="s">
        <v>55</v>
      </c>
      <c r="AK1" s="5" t="s">
        <v>56</v>
      </c>
      <c r="AL1" s="5" t="s">
        <v>57</v>
      </c>
      <c r="AM1" s="5" t="s">
        <v>58</v>
      </c>
      <c r="AN1" s="5" t="s">
        <v>59</v>
      </c>
      <c r="AO1" s="5" t="s">
        <v>60</v>
      </c>
      <c r="AP1" s="5" t="s">
        <v>61</v>
      </c>
      <c r="AQ1" s="5" t="s">
        <v>62</v>
      </c>
      <c r="AR1" s="5" t="s">
        <v>63</v>
      </c>
      <c r="AS1" s="5" t="s">
        <v>64</v>
      </c>
      <c r="AT1" s="5" t="s">
        <v>65</v>
      </c>
      <c r="AU1" s="5" t="s">
        <v>66</v>
      </c>
      <c r="AV1" s="5" t="s">
        <v>67</v>
      </c>
      <c r="AW1" s="5" t="s">
        <v>68</v>
      </c>
      <c r="AX1" s="5" t="s">
        <v>69</v>
      </c>
      <c r="AY1" s="5" t="s">
        <v>70</v>
      </c>
      <c r="AZ1" s="5" t="s">
        <v>71</v>
      </c>
      <c r="BA1" s="5" t="s">
        <v>72</v>
      </c>
      <c r="BB1" s="5" t="s">
        <v>73</v>
      </c>
      <c r="BC1" s="5" t="s">
        <v>74</v>
      </c>
      <c r="BD1" s="5" t="s">
        <v>75</v>
      </c>
      <c r="BE1" s="5" t="s">
        <v>76</v>
      </c>
      <c r="BF1" s="5" t="s">
        <v>77</v>
      </c>
      <c r="BG1" s="5" t="s">
        <v>78</v>
      </c>
      <c r="BH1" s="5"/>
    </row>
    <row r="2" spans="1:60" ht="15.75" customHeight="1" x14ac:dyDescent="0.2">
      <c r="A2" s="8">
        <v>1968</v>
      </c>
      <c r="B2" s="5">
        <v>125.62</v>
      </c>
      <c r="C2" s="3">
        <f>'Median Price of new US Homes'!D2</f>
        <v>24800</v>
      </c>
      <c r="D2" s="5" t="s">
        <v>79</v>
      </c>
      <c r="E2" s="6">
        <v>200706</v>
      </c>
      <c r="F2" s="6">
        <v>24.177160000000001</v>
      </c>
      <c r="G2" s="6">
        <v>14862.94</v>
      </c>
      <c r="H2" s="6">
        <v>48.401519999999998</v>
      </c>
      <c r="I2" s="6">
        <v>42.405000000000001</v>
      </c>
      <c r="J2" s="6">
        <v>940.65099999999995</v>
      </c>
      <c r="K2" s="6">
        <v>0.193191</v>
      </c>
      <c r="L2" s="6">
        <v>28.132280000000002</v>
      </c>
      <c r="M2" s="6">
        <v>0.59</v>
      </c>
      <c r="N2" s="6">
        <v>46.55</v>
      </c>
      <c r="O2" s="6">
        <v>47.9</v>
      </c>
      <c r="P2" s="6">
        <v>59.427999999999997</v>
      </c>
      <c r="Q2" s="6">
        <v>545.30830000000003</v>
      </c>
      <c r="R2" s="6">
        <v>5.66</v>
      </c>
      <c r="S2" s="6">
        <v>5.6458300000000001</v>
      </c>
      <c r="T2" s="6">
        <v>24.177160000000001</v>
      </c>
      <c r="U2" s="6">
        <v>3.6</v>
      </c>
      <c r="V2" s="6">
        <v>27.786359999999998</v>
      </c>
      <c r="W2" s="6">
        <v>0.41</v>
      </c>
      <c r="X2" s="6">
        <v>152.97300000000001</v>
      </c>
      <c r="Y2" s="6">
        <v>178.13399999999999</v>
      </c>
      <c r="Z2" s="6">
        <v>1</v>
      </c>
      <c r="AA2" s="6">
        <v>451.00299999999999</v>
      </c>
      <c r="AB2" s="6">
        <v>249.923</v>
      </c>
      <c r="AC2" s="6">
        <v>281.904</v>
      </c>
      <c r="AD2" s="6">
        <v>169.09899999999999</v>
      </c>
      <c r="AE2" s="6">
        <v>575.91700000000003</v>
      </c>
      <c r="AF2" s="6">
        <v>5.0509630000000003</v>
      </c>
      <c r="AG2" s="6">
        <v>59.685720000000003</v>
      </c>
      <c r="AH2" s="6">
        <v>8.4746140000000008</v>
      </c>
      <c r="AI2" s="6">
        <v>0</v>
      </c>
      <c r="AJ2" s="6">
        <v>0</v>
      </c>
      <c r="AK2" s="6">
        <v>1</v>
      </c>
      <c r="AL2" s="6">
        <v>1</v>
      </c>
      <c r="AM2" s="5" t="s">
        <v>80</v>
      </c>
      <c r="AN2" s="5" t="s">
        <v>81</v>
      </c>
      <c r="AO2" s="5"/>
      <c r="AP2" s="6">
        <v>0.14973800000000001</v>
      </c>
      <c r="AQ2" s="6">
        <v>8.2211000000000006E-2</v>
      </c>
      <c r="AR2" s="6">
        <v>-1.1900000000000001E-3</v>
      </c>
      <c r="AS2" s="6">
        <v>5.8591999999999998E-2</v>
      </c>
      <c r="AT2" s="5"/>
      <c r="AU2" s="5"/>
      <c r="AV2" s="6">
        <v>2.8594000000000001E-2</v>
      </c>
      <c r="AW2" s="6">
        <v>5.3616999999999998E-2</v>
      </c>
      <c r="AX2" s="6">
        <v>5.2127E-2</v>
      </c>
      <c r="AY2" s="6">
        <v>0.117524</v>
      </c>
      <c r="AZ2" s="6">
        <v>2.8826000000000001E-2</v>
      </c>
      <c r="BA2" s="5"/>
      <c r="BB2" s="5"/>
      <c r="BC2" s="5"/>
      <c r="BD2" s="6">
        <v>5.6458000000000001E-2</v>
      </c>
      <c r="BE2" s="6">
        <v>3.2214E-2</v>
      </c>
      <c r="BF2" s="6">
        <v>9.5813999999999996E-2</v>
      </c>
      <c r="BG2" s="6">
        <v>0.110319</v>
      </c>
      <c r="BH2" s="6">
        <v>2.87E-2</v>
      </c>
    </row>
    <row r="3" spans="1:60" ht="15.75" customHeight="1" x14ac:dyDescent="0.2">
      <c r="A3" s="8">
        <v>1969</v>
      </c>
      <c r="B3" s="5">
        <v>122.23</v>
      </c>
      <c r="C3" s="3">
        <f>'Median Price of new US Homes'!D3</f>
        <v>25600</v>
      </c>
      <c r="D3" s="5" t="s">
        <v>79</v>
      </c>
      <c r="E3" s="6">
        <v>202677</v>
      </c>
      <c r="F3" s="6">
        <v>25.748480000000001</v>
      </c>
      <c r="G3" s="6">
        <v>15179.41</v>
      </c>
      <c r="H3" s="6">
        <v>49.419490000000003</v>
      </c>
      <c r="I3" s="6">
        <v>43.564300000000003</v>
      </c>
      <c r="J3" s="6">
        <v>1017.615</v>
      </c>
      <c r="K3" s="6">
        <v>0.19350899999999999</v>
      </c>
      <c r="L3" s="6">
        <v>29.661860000000001</v>
      </c>
      <c r="M3" s="6">
        <v>0.42</v>
      </c>
      <c r="N3" s="6">
        <v>50.5</v>
      </c>
      <c r="O3" s="6">
        <v>51.924999999999997</v>
      </c>
      <c r="P3" s="6">
        <v>62.029000000000003</v>
      </c>
      <c r="Q3" s="6">
        <v>578.65830000000005</v>
      </c>
      <c r="R3" s="6">
        <v>8.2200000000000006</v>
      </c>
      <c r="S3" s="6">
        <v>6.6708299999999996</v>
      </c>
      <c r="T3" s="6">
        <v>25.748480000000001</v>
      </c>
      <c r="U3" s="6">
        <v>3.5</v>
      </c>
      <c r="V3" s="6">
        <v>29.452169999999999</v>
      </c>
      <c r="W3" s="6">
        <v>0.372</v>
      </c>
      <c r="X3" s="6">
        <v>186.88200000000001</v>
      </c>
      <c r="Y3" s="6">
        <v>183.64</v>
      </c>
      <c r="Z3" s="6">
        <v>1</v>
      </c>
      <c r="AA3" s="6">
        <v>488.10500000000002</v>
      </c>
      <c r="AB3" s="6">
        <v>267.05</v>
      </c>
      <c r="AC3" s="6">
        <v>302.95400000000001</v>
      </c>
      <c r="AD3" s="6">
        <v>185.15100000000001</v>
      </c>
      <c r="AE3" s="6">
        <v>645.15800000000002</v>
      </c>
      <c r="AF3" s="6">
        <v>5.3328740000000003</v>
      </c>
      <c r="AG3" s="6">
        <v>64.272919999999999</v>
      </c>
      <c r="AH3" s="6">
        <v>12.015499999999999</v>
      </c>
      <c r="AI3" s="6">
        <v>0</v>
      </c>
      <c r="AJ3" s="6">
        <v>0</v>
      </c>
      <c r="AK3" s="6">
        <v>1</v>
      </c>
      <c r="AL3" s="6">
        <v>1</v>
      </c>
      <c r="AM3" s="5" t="s">
        <v>80</v>
      </c>
      <c r="AN3" s="5" t="s">
        <v>81</v>
      </c>
      <c r="AO3" s="5"/>
      <c r="AP3" s="6">
        <v>-0.11484</v>
      </c>
      <c r="AQ3" s="6">
        <v>0.119853</v>
      </c>
      <c r="AR3" s="6">
        <v>-5.5359999999999999E-2</v>
      </c>
      <c r="AS3" s="6">
        <v>7.7607999999999996E-2</v>
      </c>
      <c r="AT3" s="5"/>
      <c r="AU3" s="5"/>
      <c r="AV3" s="6">
        <v>6.4990999999999993E-2</v>
      </c>
      <c r="AW3" s="6">
        <v>5.4862000000000001E-2</v>
      </c>
      <c r="AX3" s="6">
        <v>5.1513999999999997E-2</v>
      </c>
      <c r="AY3" s="6">
        <v>-0.14451</v>
      </c>
      <c r="AZ3" s="6">
        <v>3.4682999999999999E-2</v>
      </c>
      <c r="BA3" s="5"/>
      <c r="BB3" s="5"/>
      <c r="BC3" s="5"/>
      <c r="BD3" s="6">
        <v>6.6708000000000003E-2</v>
      </c>
      <c r="BE3" s="6">
        <v>2.9670999999999999E-2</v>
      </c>
      <c r="BF3" s="6">
        <v>2.8863E-2</v>
      </c>
      <c r="BG3" s="6">
        <v>3.2603E-2</v>
      </c>
      <c r="BH3" s="6">
        <v>1.1124E-2</v>
      </c>
    </row>
    <row r="4" spans="1:60" ht="15.75" customHeight="1" x14ac:dyDescent="0.2">
      <c r="A4" s="8">
        <v>1970</v>
      </c>
      <c r="B4" s="5">
        <v>119.47</v>
      </c>
      <c r="C4" s="3">
        <f>'Median Price of new US Homes'!D4</f>
        <v>23475</v>
      </c>
      <c r="D4" s="5" t="s">
        <v>79</v>
      </c>
      <c r="E4" s="6">
        <v>205052</v>
      </c>
      <c r="F4" s="6">
        <v>27.8155</v>
      </c>
      <c r="G4" s="6">
        <v>15029.85</v>
      </c>
      <c r="H4" s="6">
        <v>48.9255</v>
      </c>
      <c r="I4" s="6">
        <v>44.062100000000001</v>
      </c>
      <c r="J4" s="6">
        <v>1073.3030000000001</v>
      </c>
      <c r="K4" s="6">
        <v>0.18676300000000001</v>
      </c>
      <c r="L4" s="6">
        <v>31.407080000000001</v>
      </c>
      <c r="M4" s="6">
        <v>2.62</v>
      </c>
      <c r="N4" s="6">
        <v>55.75</v>
      </c>
      <c r="O4" s="6">
        <v>59.725000000000001</v>
      </c>
      <c r="P4" s="6">
        <v>66.215000000000003</v>
      </c>
      <c r="Q4" s="6">
        <v>601.4</v>
      </c>
      <c r="R4" s="6">
        <v>7.18</v>
      </c>
      <c r="S4" s="6">
        <v>7.3483299999999998</v>
      </c>
      <c r="T4" s="6">
        <v>27.8155</v>
      </c>
      <c r="U4" s="6">
        <v>4.9000000000000004</v>
      </c>
      <c r="V4" s="6">
        <v>30.929069999999999</v>
      </c>
      <c r="W4" s="6">
        <v>0.36299999999999999</v>
      </c>
      <c r="X4" s="6">
        <v>192.80699999999999</v>
      </c>
      <c r="Y4" s="6">
        <v>195.649</v>
      </c>
      <c r="Z4" s="6">
        <v>1</v>
      </c>
      <c r="AA4" s="6">
        <v>512.16300000000001</v>
      </c>
      <c r="AB4" s="6">
        <v>281.60300000000001</v>
      </c>
      <c r="AC4" s="6">
        <v>317.81299999999999</v>
      </c>
      <c r="AD4" s="6">
        <v>194.35</v>
      </c>
      <c r="AE4" s="6">
        <v>697.649</v>
      </c>
      <c r="AF4" s="6">
        <v>5.2683260000000001</v>
      </c>
      <c r="AG4" s="6">
        <v>60.556139999999999</v>
      </c>
      <c r="AH4" s="6">
        <v>10.66699</v>
      </c>
      <c r="AI4" s="6">
        <v>0</v>
      </c>
      <c r="AJ4" s="6">
        <v>0</v>
      </c>
      <c r="AK4" s="6">
        <v>1</v>
      </c>
      <c r="AL4" s="6">
        <v>1</v>
      </c>
      <c r="AM4" s="5" t="s">
        <v>80</v>
      </c>
      <c r="AN4" s="5" t="s">
        <v>81</v>
      </c>
      <c r="AO4" s="5"/>
      <c r="AP4" s="6">
        <v>2.283E-2</v>
      </c>
      <c r="AQ4" s="6">
        <v>0.13492999999999999</v>
      </c>
      <c r="AR4" s="6">
        <v>0.14194899999999999</v>
      </c>
      <c r="AS4" s="6">
        <v>7.5642000000000001E-2</v>
      </c>
      <c r="AT4" s="5"/>
      <c r="AU4" s="5"/>
      <c r="AV4" s="6">
        <v>8.0277000000000001E-2</v>
      </c>
      <c r="AW4" s="6">
        <v>5.4654000000000001E-2</v>
      </c>
      <c r="AX4" s="6">
        <v>5.0591999999999998E-2</v>
      </c>
      <c r="AY4" s="6">
        <v>-1.163E-2</v>
      </c>
      <c r="AZ4" s="6">
        <v>3.4869999999999998E-2</v>
      </c>
      <c r="BA4" s="5"/>
      <c r="BB4" s="5"/>
      <c r="BC4" s="5"/>
      <c r="BD4" s="6">
        <v>7.3483000000000007E-2</v>
      </c>
      <c r="BE4" s="6">
        <v>3.4464000000000002E-2</v>
      </c>
      <c r="BF4" s="6">
        <v>9.7142000000000006E-2</v>
      </c>
      <c r="BG4" s="6">
        <v>9.4691999999999998E-2</v>
      </c>
      <c r="BH4" s="6">
        <v>0.108796</v>
      </c>
    </row>
    <row r="5" spans="1:60" ht="15.75" customHeight="1" x14ac:dyDescent="0.2">
      <c r="A5" s="8">
        <v>1971</v>
      </c>
      <c r="B5" s="5">
        <v>171.02</v>
      </c>
      <c r="C5" s="3">
        <f>'Median Price of new US Homes'!D5</f>
        <v>25225</v>
      </c>
      <c r="D5" s="5" t="s">
        <v>79</v>
      </c>
      <c r="E5" s="6">
        <v>207661</v>
      </c>
      <c r="F5" s="6">
        <v>29.35155</v>
      </c>
      <c r="G5" s="6">
        <v>15304.3</v>
      </c>
      <c r="H5" s="6">
        <v>49.946919999999999</v>
      </c>
      <c r="I5" s="6">
        <v>45.183799999999998</v>
      </c>
      <c r="J5" s="6">
        <v>1164.8499999999999</v>
      </c>
      <c r="K5" s="6">
        <v>0.18784699999999999</v>
      </c>
      <c r="L5" s="6">
        <v>32.734520000000003</v>
      </c>
      <c r="M5" s="6">
        <v>-0.98</v>
      </c>
      <c r="N5" s="6">
        <v>62.35</v>
      </c>
      <c r="O5" s="6">
        <v>62.975000000000001</v>
      </c>
      <c r="P5" s="6">
        <v>71.022999999999996</v>
      </c>
      <c r="Q5" s="6">
        <v>674.39170000000001</v>
      </c>
      <c r="R5" s="6">
        <v>4.66</v>
      </c>
      <c r="S5" s="6">
        <v>6.1591699999999996</v>
      </c>
      <c r="T5" s="6">
        <v>29.35155</v>
      </c>
      <c r="U5" s="6">
        <v>5.9</v>
      </c>
      <c r="V5" s="6">
        <v>32.95552</v>
      </c>
      <c r="W5" s="6">
        <v>0.36499999999999999</v>
      </c>
      <c r="X5" s="6">
        <v>187.13900000000001</v>
      </c>
      <c r="Y5" s="6">
        <v>210.172</v>
      </c>
      <c r="Z5" s="6">
        <v>1</v>
      </c>
      <c r="AA5" s="6">
        <v>568.91600000000005</v>
      </c>
      <c r="AB5" s="6">
        <v>317.89400000000001</v>
      </c>
      <c r="AC5" s="6">
        <v>357.50200000000001</v>
      </c>
      <c r="AD5" s="6">
        <v>211.41399999999999</v>
      </c>
      <c r="AE5" s="6">
        <v>770.25</v>
      </c>
      <c r="AF5" s="6">
        <v>5.1039729999999999</v>
      </c>
      <c r="AG5" s="6">
        <v>59.733780000000003</v>
      </c>
      <c r="AH5" s="6">
        <v>10.32072</v>
      </c>
      <c r="AI5" s="6">
        <v>0</v>
      </c>
      <c r="AJ5" s="6">
        <v>0</v>
      </c>
      <c r="AK5" s="6">
        <v>1</v>
      </c>
      <c r="AL5" s="6">
        <v>1</v>
      </c>
      <c r="AM5" s="5" t="s">
        <v>80</v>
      </c>
      <c r="AN5" s="5" t="s">
        <v>81</v>
      </c>
      <c r="AO5" s="5"/>
      <c r="AP5" s="6">
        <v>0.13536899999999999</v>
      </c>
      <c r="AQ5" s="6">
        <v>0.108587</v>
      </c>
      <c r="AR5" s="6">
        <v>0.179647</v>
      </c>
      <c r="AS5" s="6">
        <v>5.0049999999999997E-2</v>
      </c>
      <c r="AT5" s="5"/>
      <c r="AU5" s="5"/>
      <c r="AV5" s="6">
        <v>5.5220999999999999E-2</v>
      </c>
      <c r="AW5" s="6">
        <v>5.3365999999999997E-2</v>
      </c>
      <c r="AX5" s="6">
        <v>5.0574000000000001E-2</v>
      </c>
      <c r="AY5" s="6">
        <v>0.10127700000000001</v>
      </c>
      <c r="AZ5" s="6">
        <v>3.0956999999999998E-2</v>
      </c>
      <c r="BA5" s="5"/>
      <c r="BB5" s="5"/>
      <c r="BC5" s="5"/>
      <c r="BD5" s="6">
        <v>6.1592000000000001E-2</v>
      </c>
      <c r="BE5" s="6">
        <v>3.4091999999999997E-2</v>
      </c>
      <c r="BF5" s="6">
        <v>0.117934</v>
      </c>
      <c r="BG5" s="6">
        <v>0.118563</v>
      </c>
      <c r="BH5" s="6">
        <v>0.11484900000000001</v>
      </c>
    </row>
    <row r="6" spans="1:60" ht="15.75" customHeight="1" x14ac:dyDescent="0.2">
      <c r="A6" s="8">
        <v>1972</v>
      </c>
      <c r="B6" s="5">
        <v>184.96</v>
      </c>
      <c r="C6" s="3">
        <f>'Median Price of new US Homes'!D6</f>
        <v>27525</v>
      </c>
      <c r="D6" s="5" t="s">
        <v>79</v>
      </c>
      <c r="E6" s="6">
        <v>209896</v>
      </c>
      <c r="F6" s="6">
        <v>30.564330000000002</v>
      </c>
      <c r="G6" s="6">
        <v>15943.87</v>
      </c>
      <c r="H6" s="6">
        <v>52.053019999999997</v>
      </c>
      <c r="I6" s="6">
        <v>47.463299999999997</v>
      </c>
      <c r="J6" s="6">
        <v>1279.1099999999999</v>
      </c>
      <c r="K6" s="6">
        <v>0.19476499999999999</v>
      </c>
      <c r="L6" s="6">
        <v>33.805900000000001</v>
      </c>
      <c r="M6" s="6">
        <v>-5.26</v>
      </c>
      <c r="N6" s="6">
        <v>74.224999999999994</v>
      </c>
      <c r="O6" s="6">
        <v>70.849999999999994</v>
      </c>
      <c r="P6" s="6">
        <v>77.043999999999997</v>
      </c>
      <c r="Q6" s="6">
        <v>758.13329999999996</v>
      </c>
      <c r="R6" s="6">
        <v>4.43</v>
      </c>
      <c r="S6" s="6">
        <v>6.21</v>
      </c>
      <c r="T6" s="6">
        <v>30.564330000000002</v>
      </c>
      <c r="U6" s="6">
        <v>5.6</v>
      </c>
      <c r="V6" s="6">
        <v>35.273910000000001</v>
      </c>
      <c r="W6" s="6">
        <v>0.35699999999999998</v>
      </c>
      <c r="X6" s="6">
        <v>207.309</v>
      </c>
      <c r="Y6" s="6">
        <v>230.68100000000001</v>
      </c>
      <c r="Z6" s="6">
        <v>1</v>
      </c>
      <c r="AA6" s="6">
        <v>662.36900000000003</v>
      </c>
      <c r="AB6" s="6">
        <v>372.822</v>
      </c>
      <c r="AC6" s="6">
        <v>416.553</v>
      </c>
      <c r="AD6" s="6">
        <v>245.816</v>
      </c>
      <c r="AE6" s="6">
        <v>870.74699999999996</v>
      </c>
      <c r="AF6" s="6">
        <v>4.7695889999999999</v>
      </c>
      <c r="AG6" s="6">
        <v>61.966819999999998</v>
      </c>
      <c r="AH6" s="6">
        <v>11.36904</v>
      </c>
      <c r="AI6" s="6">
        <v>0</v>
      </c>
      <c r="AJ6" s="6">
        <v>0</v>
      </c>
      <c r="AK6" s="6">
        <v>0</v>
      </c>
      <c r="AL6" s="6">
        <v>0</v>
      </c>
      <c r="AM6" s="5" t="s">
        <v>80</v>
      </c>
      <c r="AN6" s="5" t="s">
        <v>81</v>
      </c>
      <c r="AO6" s="5"/>
      <c r="AP6" s="6">
        <v>0.21659800000000001</v>
      </c>
      <c r="AQ6" s="6">
        <v>9.4271999999999995E-2</v>
      </c>
      <c r="AR6" s="6">
        <v>5.5525999999999999E-2</v>
      </c>
      <c r="AS6" s="6">
        <v>4.6657999999999998E-2</v>
      </c>
      <c r="AT6" s="5"/>
      <c r="AU6" s="5"/>
      <c r="AV6" s="6">
        <v>4.1320000000000003E-2</v>
      </c>
      <c r="AW6" s="6">
        <v>5.2951999999999999E-2</v>
      </c>
      <c r="AX6" s="6">
        <v>5.0851E-2</v>
      </c>
      <c r="AY6" s="6">
        <v>0.184834</v>
      </c>
      <c r="AZ6" s="6">
        <v>2.6808999999999999E-2</v>
      </c>
      <c r="BA6" s="5"/>
      <c r="BB6" s="5"/>
      <c r="BC6" s="5"/>
      <c r="BD6" s="6">
        <v>6.2100000000000002E-2</v>
      </c>
      <c r="BE6" s="6">
        <v>3.1764000000000001E-2</v>
      </c>
      <c r="BF6" s="6">
        <v>0.12625</v>
      </c>
      <c r="BG6" s="6">
        <v>0.14047399999999999</v>
      </c>
      <c r="BH6" s="6">
        <v>5.1091999999999999E-2</v>
      </c>
    </row>
    <row r="7" spans="1:60" ht="15.75" customHeight="1" x14ac:dyDescent="0.2">
      <c r="A7" s="8">
        <v>1973</v>
      </c>
      <c r="B7" s="5">
        <v>170.43</v>
      </c>
      <c r="C7" s="3">
        <f>'Median Price of new US Homes'!D7</f>
        <v>32600</v>
      </c>
      <c r="D7" s="5" t="s">
        <v>79</v>
      </c>
      <c r="E7" s="6">
        <v>211909</v>
      </c>
      <c r="F7" s="6">
        <v>31.199120000000001</v>
      </c>
      <c r="G7" s="6">
        <v>16689.34</v>
      </c>
      <c r="H7" s="6">
        <v>54.552630000000001</v>
      </c>
      <c r="I7" s="6">
        <v>49.336100000000002</v>
      </c>
      <c r="J7" s="6">
        <v>1425.376</v>
      </c>
      <c r="K7" s="6">
        <v>0.19927400000000001</v>
      </c>
      <c r="L7" s="6">
        <v>35.921720000000001</v>
      </c>
      <c r="M7" s="6">
        <v>7.58</v>
      </c>
      <c r="N7" s="6">
        <v>91.174999999999997</v>
      </c>
      <c r="O7" s="6">
        <v>95.275000000000006</v>
      </c>
      <c r="P7" s="6">
        <v>83.477000000000004</v>
      </c>
      <c r="Q7" s="6">
        <v>831.8</v>
      </c>
      <c r="R7" s="6">
        <v>8.73</v>
      </c>
      <c r="S7" s="6">
        <v>6.8425000000000002</v>
      </c>
      <c r="T7" s="6">
        <v>31.199120000000001</v>
      </c>
      <c r="U7" s="6">
        <v>4.9000000000000004</v>
      </c>
      <c r="V7" s="6">
        <v>37.764040000000001</v>
      </c>
      <c r="W7" s="6">
        <v>0.34399999999999997</v>
      </c>
      <c r="X7" s="6">
        <v>230.79900000000001</v>
      </c>
      <c r="Y7" s="6">
        <v>245.70699999999999</v>
      </c>
      <c r="Z7" s="6">
        <v>1</v>
      </c>
      <c r="AA7" s="6">
        <v>778.90899999999999</v>
      </c>
      <c r="AB7" s="6">
        <v>429.25200000000001</v>
      </c>
      <c r="AC7" s="6">
        <v>479.37700000000001</v>
      </c>
      <c r="AD7" s="6">
        <v>299.53199999999998</v>
      </c>
      <c r="AE7" s="6">
        <v>1025.645</v>
      </c>
      <c r="AF7" s="6">
        <v>4.6745039999999998</v>
      </c>
      <c r="AG7" s="6">
        <v>66.346299999999999</v>
      </c>
      <c r="AH7" s="6">
        <v>13.32381</v>
      </c>
      <c r="AI7" s="6">
        <v>0</v>
      </c>
      <c r="AJ7" s="6">
        <v>0</v>
      </c>
      <c r="AK7" s="6">
        <v>0</v>
      </c>
      <c r="AL7" s="6">
        <v>0</v>
      </c>
      <c r="AM7" s="5" t="s">
        <v>80</v>
      </c>
      <c r="AN7" s="5" t="s">
        <v>81</v>
      </c>
      <c r="AO7" s="5"/>
      <c r="AP7" s="6">
        <v>-0.1646</v>
      </c>
      <c r="AQ7" s="6">
        <v>7.4985999999999997E-2</v>
      </c>
      <c r="AR7" s="6">
        <v>-3.8330000000000003E-2</v>
      </c>
      <c r="AS7" s="6">
        <v>8.4157999999999997E-2</v>
      </c>
      <c r="AT7" s="5"/>
      <c r="AU7" s="5"/>
      <c r="AV7" s="6">
        <v>2.0768999999999999E-2</v>
      </c>
      <c r="AW7" s="6">
        <v>5.4217000000000001E-2</v>
      </c>
      <c r="AX7" s="6">
        <v>5.3114000000000001E-2</v>
      </c>
      <c r="AY7" s="6">
        <v>-0.19336</v>
      </c>
      <c r="AZ7" s="6">
        <v>3.5661999999999999E-2</v>
      </c>
      <c r="BA7" s="5"/>
      <c r="BB7" s="5"/>
      <c r="BC7" s="5"/>
      <c r="BD7" s="6">
        <v>6.8425E-2</v>
      </c>
      <c r="BE7" s="6">
        <v>2.8766E-2</v>
      </c>
      <c r="BF7" s="6">
        <v>5.7920000000000003E-3</v>
      </c>
      <c r="BG7" s="6">
        <v>2.3839999999999998E-3</v>
      </c>
      <c r="BH7" s="6">
        <v>2.2911999999999998E-2</v>
      </c>
    </row>
    <row r="8" spans="1:60" ht="15.75" customHeight="1" x14ac:dyDescent="0.2">
      <c r="A8" s="8">
        <v>1974</v>
      </c>
      <c r="B8" s="5">
        <v>111.48</v>
      </c>
      <c r="C8" s="3">
        <f>'Median Price of new US Homes'!D8</f>
        <v>36050</v>
      </c>
      <c r="D8" s="5" t="s">
        <v>79</v>
      </c>
      <c r="E8" s="6">
        <v>213854</v>
      </c>
      <c r="F8" s="6">
        <v>33.550220000000003</v>
      </c>
      <c r="G8" s="6">
        <v>16491.27</v>
      </c>
      <c r="H8" s="6">
        <v>53.776780000000002</v>
      </c>
      <c r="I8" s="6">
        <v>48.509</v>
      </c>
      <c r="J8" s="6">
        <v>1545.2429999999999</v>
      </c>
      <c r="K8" s="6">
        <v>0.19450500000000001</v>
      </c>
      <c r="L8" s="6">
        <v>39.877079999999999</v>
      </c>
      <c r="M8" s="6">
        <v>1.7</v>
      </c>
      <c r="N8" s="6">
        <v>127.47499999999999</v>
      </c>
      <c r="O8" s="6">
        <v>126.65</v>
      </c>
      <c r="P8" s="6">
        <v>91.441999999999993</v>
      </c>
      <c r="Q8" s="6">
        <v>880.66669999999999</v>
      </c>
      <c r="R8" s="6">
        <v>10.5</v>
      </c>
      <c r="S8" s="6">
        <v>7.5566700000000004</v>
      </c>
      <c r="T8" s="6">
        <v>33.550220000000003</v>
      </c>
      <c r="U8" s="6">
        <v>5.6</v>
      </c>
      <c r="V8" s="6">
        <v>40.803710000000002</v>
      </c>
      <c r="W8" s="6">
        <v>0.32600000000000001</v>
      </c>
      <c r="X8" s="6">
        <v>263.22399999999999</v>
      </c>
      <c r="Y8" s="6">
        <v>269.35899999999998</v>
      </c>
      <c r="Z8" s="6">
        <v>1</v>
      </c>
      <c r="AA8" s="6">
        <v>855.572</v>
      </c>
      <c r="AB8" s="6">
        <v>464.36599999999999</v>
      </c>
      <c r="AC8" s="6">
        <v>512.27300000000002</v>
      </c>
      <c r="AD8" s="6">
        <v>343.29899999999998</v>
      </c>
      <c r="AE8" s="6">
        <v>1072.8499999999999</v>
      </c>
      <c r="AF8" s="6">
        <v>3.859146</v>
      </c>
      <c r="AG8" s="6">
        <v>66.049989999999994</v>
      </c>
      <c r="AH8" s="6">
        <v>12.630269999999999</v>
      </c>
      <c r="AI8" s="6">
        <v>0</v>
      </c>
      <c r="AJ8" s="6">
        <v>0</v>
      </c>
      <c r="AK8" s="6">
        <v>0</v>
      </c>
      <c r="AL8" s="6">
        <v>0</v>
      </c>
      <c r="AM8" s="5" t="s">
        <v>80</v>
      </c>
      <c r="AN8" s="5" t="s">
        <v>81</v>
      </c>
      <c r="AO8" s="5"/>
      <c r="AP8" s="6">
        <v>-0.25438</v>
      </c>
      <c r="AQ8" s="6">
        <v>0.13247600000000001</v>
      </c>
      <c r="AR8" s="6">
        <v>2.5545000000000002E-2</v>
      </c>
      <c r="AS8" s="6">
        <v>0.10244200000000001</v>
      </c>
      <c r="AT8" s="5"/>
      <c r="AU8" s="5"/>
      <c r="AV8" s="6">
        <v>7.5357999999999994E-2</v>
      </c>
      <c r="AW8" s="6">
        <v>5.7118000000000002E-2</v>
      </c>
      <c r="AX8" s="6">
        <v>5.3115000000000002E-2</v>
      </c>
      <c r="AY8" s="6">
        <v>-0.29236000000000001</v>
      </c>
      <c r="AZ8" s="6">
        <v>5.3675E-2</v>
      </c>
      <c r="BA8" s="5"/>
      <c r="BB8" s="5"/>
      <c r="BC8" s="5"/>
      <c r="BD8" s="6">
        <v>7.5566999999999995E-2</v>
      </c>
      <c r="BE8" s="6">
        <v>3.7983000000000003E-2</v>
      </c>
      <c r="BF8" s="6">
        <v>4.8292000000000002E-2</v>
      </c>
      <c r="BG8" s="6">
        <v>4.4880999999999997E-2</v>
      </c>
      <c r="BH8" s="6">
        <v>6.3993999999999995E-2</v>
      </c>
    </row>
    <row r="9" spans="1:60" ht="15.75" customHeight="1" x14ac:dyDescent="0.2">
      <c r="A9" s="8">
        <v>1975</v>
      </c>
      <c r="B9" s="5">
        <v>97.15</v>
      </c>
      <c r="C9" s="3">
        <f>'Median Price of new US Homes'!D9</f>
        <v>39275</v>
      </c>
      <c r="D9" s="5" t="s">
        <v>79</v>
      </c>
      <c r="E9" s="6">
        <v>215973</v>
      </c>
      <c r="F9" s="6">
        <v>37.078429999999997</v>
      </c>
      <c r="G9" s="6">
        <v>16283.63</v>
      </c>
      <c r="H9" s="6">
        <v>53.140030000000003</v>
      </c>
      <c r="I9" s="6">
        <v>49.1432</v>
      </c>
      <c r="J9" s="6">
        <v>1684.904</v>
      </c>
      <c r="K9" s="6">
        <v>0.18294199999999999</v>
      </c>
      <c r="L9" s="6">
        <v>43.522489999999998</v>
      </c>
      <c r="M9" s="6">
        <v>17.88</v>
      </c>
      <c r="N9" s="6">
        <v>122.72499999999999</v>
      </c>
      <c r="O9" s="6">
        <v>138.69999999999999</v>
      </c>
      <c r="P9" s="6">
        <v>96.742999999999995</v>
      </c>
      <c r="Q9" s="6">
        <v>963.66669999999999</v>
      </c>
      <c r="R9" s="6">
        <v>5.82</v>
      </c>
      <c r="S9" s="6">
        <v>7.9874999999999998</v>
      </c>
      <c r="T9" s="6">
        <v>37.078429999999997</v>
      </c>
      <c r="U9" s="6">
        <v>8.5</v>
      </c>
      <c r="V9" s="6">
        <v>44.598999999999997</v>
      </c>
      <c r="W9" s="6">
        <v>0.33600000000000002</v>
      </c>
      <c r="X9" s="6">
        <v>279.08999999999997</v>
      </c>
      <c r="Y9" s="6">
        <v>332.33199999999999</v>
      </c>
      <c r="Z9" s="6">
        <v>1</v>
      </c>
      <c r="AA9" s="6">
        <v>887.505</v>
      </c>
      <c r="AB9" s="6">
        <v>503.66800000000001</v>
      </c>
      <c r="AC9" s="6">
        <v>550.83199999999999</v>
      </c>
      <c r="AD9" s="6">
        <v>336.673</v>
      </c>
      <c r="AE9" s="6">
        <v>1419.617</v>
      </c>
      <c r="AF9" s="6">
        <v>4.0254630000000002</v>
      </c>
      <c r="AG9" s="6">
        <v>63.461280000000002</v>
      </c>
      <c r="AH9" s="6">
        <v>12.18432</v>
      </c>
      <c r="AI9" s="6">
        <v>0</v>
      </c>
      <c r="AJ9" s="6">
        <v>0</v>
      </c>
      <c r="AK9" s="6">
        <v>0</v>
      </c>
      <c r="AL9" s="6">
        <v>0</v>
      </c>
      <c r="AM9" s="5" t="s">
        <v>80</v>
      </c>
      <c r="AN9" s="5" t="s">
        <v>81</v>
      </c>
      <c r="AO9" s="5"/>
      <c r="AP9" s="6">
        <v>0.37736700000000001</v>
      </c>
      <c r="AQ9" s="6">
        <v>0.16200100000000001</v>
      </c>
      <c r="AR9" s="6">
        <v>6.5095E-2</v>
      </c>
      <c r="AS9" s="6">
        <v>6.4366999999999994E-2</v>
      </c>
      <c r="AT9" s="5"/>
      <c r="AU9" s="5"/>
      <c r="AV9" s="6">
        <v>0.10516200000000001</v>
      </c>
      <c r="AW9" s="6">
        <v>5.6839000000000001E-2</v>
      </c>
      <c r="AX9" s="6">
        <v>5.1429999999999997E-2</v>
      </c>
      <c r="AY9" s="6">
        <v>0.32249899999999998</v>
      </c>
      <c r="AZ9" s="6">
        <v>4.1487999999999997E-2</v>
      </c>
      <c r="BA9" s="5"/>
      <c r="BB9" s="5"/>
      <c r="BC9" s="5"/>
      <c r="BD9" s="6">
        <v>7.9875000000000002E-2</v>
      </c>
      <c r="BE9" s="6">
        <v>5.4868E-2</v>
      </c>
      <c r="BF9" s="6">
        <v>0.19153200000000001</v>
      </c>
      <c r="BG9" s="6">
        <v>0.21822</v>
      </c>
      <c r="BH9" s="6">
        <v>6.4730999999999997E-2</v>
      </c>
    </row>
    <row r="10" spans="1:60" ht="15.75" customHeight="1" x14ac:dyDescent="0.2">
      <c r="A10" s="8">
        <v>1976</v>
      </c>
      <c r="B10" s="5">
        <v>128.11000000000001</v>
      </c>
      <c r="C10" s="3">
        <f>'Median Price of new US Homes'!D10</f>
        <v>44225</v>
      </c>
      <c r="D10" s="5" t="s">
        <v>79</v>
      </c>
      <c r="E10" s="6">
        <v>218035</v>
      </c>
      <c r="F10" s="6">
        <v>39.817120000000003</v>
      </c>
      <c r="G10" s="6">
        <v>16975.09</v>
      </c>
      <c r="H10" s="6">
        <v>55.464239999999997</v>
      </c>
      <c r="I10" s="6">
        <v>51.382800000000003</v>
      </c>
      <c r="J10" s="6">
        <v>1873.412</v>
      </c>
      <c r="K10" s="6">
        <v>0.18698799999999999</v>
      </c>
      <c r="L10" s="6">
        <v>46.03586</v>
      </c>
      <c r="M10" s="6">
        <v>3.84</v>
      </c>
      <c r="N10" s="6">
        <v>151.125</v>
      </c>
      <c r="O10" s="6">
        <v>149.52500000000001</v>
      </c>
      <c r="P10" s="6">
        <v>102.95</v>
      </c>
      <c r="Q10" s="6">
        <v>1086.5920000000001</v>
      </c>
      <c r="R10" s="6">
        <v>5.04</v>
      </c>
      <c r="S10" s="6">
        <v>7.61083</v>
      </c>
      <c r="T10" s="6">
        <v>39.817120000000003</v>
      </c>
      <c r="U10" s="6">
        <v>7.7</v>
      </c>
      <c r="V10" s="6">
        <v>48.188220000000001</v>
      </c>
      <c r="W10" s="6">
        <v>0.35099999999999998</v>
      </c>
      <c r="X10" s="6">
        <v>298.06</v>
      </c>
      <c r="Y10" s="6">
        <v>371.79199999999997</v>
      </c>
      <c r="Z10" s="6">
        <v>1</v>
      </c>
      <c r="AA10" s="6">
        <v>977.20299999999997</v>
      </c>
      <c r="AB10" s="6">
        <v>570.90200000000004</v>
      </c>
      <c r="AC10" s="6">
        <v>626.69899999999996</v>
      </c>
      <c r="AD10" s="6">
        <v>350.50400000000002</v>
      </c>
      <c r="AE10" s="6">
        <v>1536.367</v>
      </c>
      <c r="AF10" s="6">
        <v>4.2614869999999998</v>
      </c>
      <c r="AG10" s="6">
        <v>63.178420000000003</v>
      </c>
      <c r="AH10" s="6">
        <v>12.37701</v>
      </c>
      <c r="AI10" s="6">
        <v>0</v>
      </c>
      <c r="AJ10" s="6">
        <v>0</v>
      </c>
      <c r="AK10" s="6">
        <v>0</v>
      </c>
      <c r="AL10" s="6">
        <v>0</v>
      </c>
      <c r="AM10" s="5" t="s">
        <v>80</v>
      </c>
      <c r="AN10" s="5" t="s">
        <v>81</v>
      </c>
      <c r="AO10" s="5"/>
      <c r="AP10" s="6">
        <v>0.22604299999999999</v>
      </c>
      <c r="AQ10" s="6">
        <v>0.12915699999999999</v>
      </c>
      <c r="AR10" s="6">
        <v>0.17338600000000001</v>
      </c>
      <c r="AS10" s="6">
        <v>5.2683000000000001E-2</v>
      </c>
      <c r="AT10" s="5"/>
      <c r="AU10" s="5"/>
      <c r="AV10" s="6">
        <v>7.3861999999999997E-2</v>
      </c>
      <c r="AW10" s="6">
        <v>5.5294999999999997E-2</v>
      </c>
      <c r="AX10" s="6">
        <v>5.1492000000000003E-2</v>
      </c>
      <c r="AY10" s="6">
        <v>0.18038299999999999</v>
      </c>
      <c r="AZ10" s="6">
        <v>3.8682000000000001E-2</v>
      </c>
      <c r="BA10" s="5"/>
      <c r="BB10" s="5"/>
      <c r="BC10" s="5"/>
      <c r="BD10" s="6">
        <v>7.6107999999999995E-2</v>
      </c>
      <c r="BE10" s="6">
        <v>4.5659999999999999E-2</v>
      </c>
      <c r="BF10" s="6">
        <v>0.14905599999999999</v>
      </c>
      <c r="BG10" s="6">
        <v>0.156697</v>
      </c>
      <c r="BH10" s="6">
        <v>0.113034</v>
      </c>
    </row>
    <row r="11" spans="1:60" ht="15.75" customHeight="1" x14ac:dyDescent="0.2">
      <c r="A11" s="8">
        <v>1977</v>
      </c>
      <c r="B11" s="5">
        <v>165.59</v>
      </c>
      <c r="C11" s="3">
        <f>'Median Price of new US Homes'!D11</f>
        <v>48900</v>
      </c>
      <c r="D11" s="5" t="s">
        <v>79</v>
      </c>
      <c r="E11" s="6">
        <v>220239</v>
      </c>
      <c r="F11" s="6">
        <v>44.525660000000002</v>
      </c>
      <c r="G11" s="6">
        <v>17566.5</v>
      </c>
      <c r="H11" s="6">
        <v>57.463560000000001</v>
      </c>
      <c r="I11" s="6">
        <v>53.041200000000003</v>
      </c>
      <c r="J11" s="6">
        <v>2081.826</v>
      </c>
      <c r="K11" s="6">
        <v>0.20024700000000001</v>
      </c>
      <c r="L11" s="6">
        <v>49.014180000000003</v>
      </c>
      <c r="M11" s="6">
        <v>-15.1</v>
      </c>
      <c r="N11" s="6">
        <v>182.42500000000001</v>
      </c>
      <c r="O11" s="6">
        <v>159.35</v>
      </c>
      <c r="P11" s="6">
        <v>112.06100000000001</v>
      </c>
      <c r="Q11" s="6">
        <v>1221.383</v>
      </c>
      <c r="R11" s="6">
        <v>5.54</v>
      </c>
      <c r="S11" s="6">
        <v>7.4191700000000003</v>
      </c>
      <c r="T11" s="6">
        <v>44.525660000000002</v>
      </c>
      <c r="U11" s="6">
        <v>7.1</v>
      </c>
      <c r="V11" s="6">
        <v>52.447189999999999</v>
      </c>
      <c r="W11" s="6">
        <v>0.34799999999999998</v>
      </c>
      <c r="X11" s="6">
        <v>355.55900000000003</v>
      </c>
      <c r="Y11" s="6">
        <v>409.21800000000002</v>
      </c>
      <c r="Z11" s="6">
        <v>1</v>
      </c>
      <c r="AA11" s="6">
        <v>1125.51</v>
      </c>
      <c r="AB11" s="6">
        <v>665.60599999999999</v>
      </c>
      <c r="AC11" s="6">
        <v>738.56200000000001</v>
      </c>
      <c r="AD11" s="6">
        <v>386.94799999999998</v>
      </c>
      <c r="AE11" s="6">
        <v>1723.78</v>
      </c>
      <c r="AF11" s="6">
        <v>4.0673839999999997</v>
      </c>
      <c r="AG11" s="6">
        <v>64.732429999999994</v>
      </c>
      <c r="AH11" s="6">
        <v>13.09679</v>
      </c>
      <c r="AI11" s="6">
        <v>0</v>
      </c>
      <c r="AJ11" s="6">
        <v>0</v>
      </c>
      <c r="AK11" s="6">
        <v>0</v>
      </c>
      <c r="AL11" s="6">
        <v>0</v>
      </c>
      <c r="AM11" s="5" t="s">
        <v>80</v>
      </c>
      <c r="AN11" s="5" t="s">
        <v>81</v>
      </c>
      <c r="AO11" s="5"/>
      <c r="AP11" s="6">
        <v>-5.9310000000000002E-2</v>
      </c>
      <c r="AQ11" s="6">
        <v>0.17426900000000001</v>
      </c>
      <c r="AR11" s="6">
        <v>1.4055E-2</v>
      </c>
      <c r="AS11" s="6">
        <v>5.6408E-2</v>
      </c>
      <c r="AT11" s="5"/>
      <c r="AU11" s="5"/>
      <c r="AV11" s="6">
        <v>0.118256</v>
      </c>
      <c r="AW11" s="6">
        <v>5.6013E-2</v>
      </c>
      <c r="AX11" s="6">
        <v>5.0090000000000003E-2</v>
      </c>
      <c r="AY11" s="6">
        <v>-0.10392</v>
      </c>
      <c r="AZ11" s="6">
        <v>4.9776000000000001E-2</v>
      </c>
      <c r="BA11" s="5"/>
      <c r="BB11" s="5"/>
      <c r="BC11" s="5"/>
      <c r="BD11" s="6">
        <v>7.4191999999999994E-2</v>
      </c>
      <c r="BE11" s="6">
        <v>4.4603999999999998E-2</v>
      </c>
      <c r="BF11" s="6">
        <v>0.10335</v>
      </c>
      <c r="BG11" s="6">
        <v>0.117704</v>
      </c>
      <c r="BH11" s="6">
        <v>3.5231999999999999E-2</v>
      </c>
    </row>
    <row r="12" spans="1:60" ht="15.75" customHeight="1" x14ac:dyDescent="0.2">
      <c r="A12" s="8">
        <v>1978</v>
      </c>
      <c r="B12" s="5">
        <v>168.36</v>
      </c>
      <c r="C12" s="3">
        <f>'Median Price of new US Homes'!D12</f>
        <v>55850</v>
      </c>
      <c r="D12" s="5" t="s">
        <v>79</v>
      </c>
      <c r="E12" s="6">
        <v>222585</v>
      </c>
      <c r="F12" s="6">
        <v>50.793100000000003</v>
      </c>
      <c r="G12" s="6">
        <v>18372.97</v>
      </c>
      <c r="H12" s="6">
        <v>60.050519999999999</v>
      </c>
      <c r="I12" s="6">
        <v>54.805700000000002</v>
      </c>
      <c r="J12" s="6">
        <v>2351.5990000000002</v>
      </c>
      <c r="K12" s="6">
        <v>0.213308</v>
      </c>
      <c r="L12" s="6">
        <v>52.753920000000001</v>
      </c>
      <c r="M12" s="6">
        <v>-15.747</v>
      </c>
      <c r="N12" s="6">
        <v>212.25</v>
      </c>
      <c r="O12" s="6">
        <v>186.875</v>
      </c>
      <c r="P12" s="6">
        <v>121.816</v>
      </c>
      <c r="Q12" s="6">
        <v>1322.4079999999999</v>
      </c>
      <c r="R12" s="6">
        <v>7.93</v>
      </c>
      <c r="S12" s="6">
        <v>8.41</v>
      </c>
      <c r="T12" s="6">
        <v>50.793100000000003</v>
      </c>
      <c r="U12" s="6">
        <v>6.1</v>
      </c>
      <c r="V12" s="6">
        <v>56.963760000000001</v>
      </c>
      <c r="W12" s="6">
        <v>0.34100000000000003</v>
      </c>
      <c r="X12" s="6">
        <v>399.56099999999998</v>
      </c>
      <c r="Y12" s="6">
        <v>458.74599999999998</v>
      </c>
      <c r="Z12" s="6">
        <v>1</v>
      </c>
      <c r="AA12" s="6">
        <v>1296.421</v>
      </c>
      <c r="AB12" s="6">
        <v>763.10299999999995</v>
      </c>
      <c r="AC12" s="6">
        <v>857.32899999999995</v>
      </c>
      <c r="AD12" s="6">
        <v>439.09199999999998</v>
      </c>
      <c r="AE12" s="6">
        <v>1975.8140000000001</v>
      </c>
      <c r="AF12" s="6">
        <v>3.9481250000000001</v>
      </c>
      <c r="AG12" s="6">
        <v>67.535030000000006</v>
      </c>
      <c r="AH12" s="6">
        <v>14.84381</v>
      </c>
      <c r="AI12" s="6">
        <v>0</v>
      </c>
      <c r="AJ12" s="6">
        <v>0</v>
      </c>
      <c r="AK12" s="6">
        <v>0</v>
      </c>
      <c r="AL12" s="6">
        <v>0</v>
      </c>
      <c r="AM12" s="5" t="s">
        <v>80</v>
      </c>
      <c r="AN12" s="5" t="s">
        <v>81</v>
      </c>
      <c r="AO12" s="5"/>
      <c r="AP12" s="6">
        <v>7.8448000000000004E-2</v>
      </c>
      <c r="AQ12" s="6">
        <v>0.19538800000000001</v>
      </c>
      <c r="AR12" s="6">
        <v>-2.9649999999999999E-2</v>
      </c>
      <c r="AS12" s="6">
        <v>8.2216999999999998E-2</v>
      </c>
      <c r="AT12" s="5"/>
      <c r="AU12" s="5"/>
      <c r="AV12" s="6">
        <v>0.140759</v>
      </c>
      <c r="AW12" s="6">
        <v>5.4628999999999997E-2</v>
      </c>
      <c r="AX12" s="6">
        <v>4.7888E-2</v>
      </c>
      <c r="AY12" s="6">
        <v>2.4407999999999999E-2</v>
      </c>
      <c r="AZ12" s="6">
        <v>5.2752E-2</v>
      </c>
      <c r="BA12" s="5"/>
      <c r="BB12" s="5"/>
      <c r="BC12" s="5"/>
      <c r="BD12" s="6">
        <v>8.4099999999999994E-2</v>
      </c>
      <c r="BE12" s="6">
        <v>5.4039999999999998E-2</v>
      </c>
      <c r="BF12" s="6">
        <v>0.14502399999999999</v>
      </c>
      <c r="BG12" s="6">
        <v>0.169516</v>
      </c>
      <c r="BH12" s="6">
        <v>2.6283000000000001E-2</v>
      </c>
    </row>
    <row r="13" spans="1:60" ht="15.75" customHeight="1" x14ac:dyDescent="0.2">
      <c r="A13" s="8">
        <v>1979</v>
      </c>
      <c r="B13" s="5">
        <v>145.41</v>
      </c>
      <c r="C13" s="3">
        <f>'Median Price of new US Homes'!D13</f>
        <v>62750</v>
      </c>
      <c r="D13" s="5" t="s">
        <v>79</v>
      </c>
      <c r="E13" s="6">
        <v>225055</v>
      </c>
      <c r="F13" s="6">
        <v>57.683790000000002</v>
      </c>
      <c r="G13" s="6">
        <v>18789.39</v>
      </c>
      <c r="H13" s="6">
        <v>61.281410000000001</v>
      </c>
      <c r="I13" s="6">
        <v>55.5304</v>
      </c>
      <c r="J13" s="6">
        <v>2627.3339999999998</v>
      </c>
      <c r="K13" s="6">
        <v>0.219889</v>
      </c>
      <c r="L13" s="6">
        <v>57.756439999999998</v>
      </c>
      <c r="M13" s="6">
        <v>-0.15670000000000001</v>
      </c>
      <c r="N13" s="6">
        <v>252.67500000000001</v>
      </c>
      <c r="O13" s="6">
        <v>230.15</v>
      </c>
      <c r="P13" s="6">
        <v>131.34700000000001</v>
      </c>
      <c r="Q13" s="6">
        <v>1425.7670000000001</v>
      </c>
      <c r="R13" s="6">
        <v>11.19</v>
      </c>
      <c r="S13" s="6">
        <v>9.4425000000000008</v>
      </c>
      <c r="T13" s="6">
        <v>57.683790000000002</v>
      </c>
      <c r="U13" s="6">
        <v>5.8</v>
      </c>
      <c r="V13" s="6">
        <v>61.858150000000002</v>
      </c>
      <c r="W13" s="6">
        <v>0.32300000000000001</v>
      </c>
      <c r="X13" s="6">
        <v>463.30200000000002</v>
      </c>
      <c r="Y13" s="6">
        <v>504.02800000000002</v>
      </c>
      <c r="Z13" s="6">
        <v>1</v>
      </c>
      <c r="AA13" s="6">
        <v>1446.002</v>
      </c>
      <c r="AB13" s="6">
        <v>845.81299999999999</v>
      </c>
      <c r="AC13" s="6">
        <v>955.31200000000001</v>
      </c>
      <c r="AD13" s="6">
        <v>490.69</v>
      </c>
      <c r="AE13" s="6">
        <v>2310.241</v>
      </c>
      <c r="AF13" s="6">
        <v>3.8972250000000002</v>
      </c>
      <c r="AG13" s="6">
        <v>68.646730000000005</v>
      </c>
      <c r="AH13" s="6">
        <v>16.17924</v>
      </c>
      <c r="AI13" s="6">
        <v>0</v>
      </c>
      <c r="AJ13" s="6">
        <v>0</v>
      </c>
      <c r="AK13" s="6">
        <v>0</v>
      </c>
      <c r="AL13" s="6">
        <v>0</v>
      </c>
      <c r="AM13" s="5" t="s">
        <v>80</v>
      </c>
      <c r="AN13" s="5" t="s">
        <v>81</v>
      </c>
      <c r="AO13" s="5"/>
      <c r="AP13" s="6">
        <v>0.180418</v>
      </c>
      <c r="AQ13" s="6">
        <v>0.18832399999999999</v>
      </c>
      <c r="AR13" s="6">
        <v>-1.5900000000000001E-2</v>
      </c>
      <c r="AS13" s="6">
        <v>0.11225</v>
      </c>
      <c r="AT13" s="5"/>
      <c r="AU13" s="5"/>
      <c r="AV13" s="6">
        <v>0.135662</v>
      </c>
      <c r="AW13" s="6">
        <v>5.2662E-2</v>
      </c>
      <c r="AX13" s="6">
        <v>4.6371000000000002E-2</v>
      </c>
      <c r="AY13" s="6">
        <v>0.121631</v>
      </c>
      <c r="AZ13" s="6">
        <v>5.2412E-2</v>
      </c>
      <c r="BA13" s="5"/>
      <c r="BB13" s="5"/>
      <c r="BC13" s="5"/>
      <c r="BD13" s="6">
        <v>9.4424999999999995E-2</v>
      </c>
      <c r="BE13" s="6">
        <v>5.8786999999999999E-2</v>
      </c>
      <c r="BF13" s="6">
        <v>0.16481899999999999</v>
      </c>
      <c r="BG13" s="6">
        <v>0.18659899999999999</v>
      </c>
      <c r="BH13" s="6">
        <v>4.8176999999999998E-2</v>
      </c>
    </row>
    <row r="14" spans="1:60" ht="15.75" customHeight="1" x14ac:dyDescent="0.2">
      <c r="A14" s="8">
        <v>1980</v>
      </c>
      <c r="B14" s="5">
        <v>107.68</v>
      </c>
      <c r="C14" s="3">
        <f>'Median Price of new US Homes'!D14</f>
        <v>64750</v>
      </c>
      <c r="D14" s="5" t="s">
        <v>79</v>
      </c>
      <c r="E14" s="6">
        <v>227726.5</v>
      </c>
      <c r="F14" s="6">
        <v>62.28163</v>
      </c>
      <c r="G14" s="6">
        <v>18577.37</v>
      </c>
      <c r="H14" s="6">
        <v>60.551009999999998</v>
      </c>
      <c r="I14" s="6">
        <v>54.841299999999997</v>
      </c>
      <c r="J14" s="6">
        <v>2857.3069999999998</v>
      </c>
      <c r="K14" s="6">
        <v>0.21011199999999999</v>
      </c>
      <c r="L14" s="6">
        <v>64.224360000000004</v>
      </c>
      <c r="M14" s="6">
        <v>2.1269999999999998</v>
      </c>
      <c r="N14" s="6">
        <v>293.82499999999999</v>
      </c>
      <c r="O14" s="6">
        <v>280.77499999999998</v>
      </c>
      <c r="P14" s="6">
        <v>141.483</v>
      </c>
      <c r="Q14" s="6">
        <v>1540.35</v>
      </c>
      <c r="R14" s="6">
        <v>13.35</v>
      </c>
      <c r="S14" s="6">
        <v>11.46</v>
      </c>
      <c r="T14" s="6">
        <v>62.28163</v>
      </c>
      <c r="U14" s="6">
        <v>7.1</v>
      </c>
      <c r="V14" s="6">
        <v>67.130350000000007</v>
      </c>
      <c r="W14" s="6">
        <v>0.32500000000000001</v>
      </c>
      <c r="X14" s="6">
        <v>517.11199999999997</v>
      </c>
      <c r="Y14" s="6">
        <v>590.94100000000003</v>
      </c>
      <c r="Z14" s="6">
        <v>1</v>
      </c>
      <c r="AA14" s="6">
        <v>1527.143</v>
      </c>
      <c r="AB14" s="6">
        <v>902.18700000000001</v>
      </c>
      <c r="AC14" s="6">
        <v>999.46100000000001</v>
      </c>
      <c r="AD14" s="6">
        <v>527.68200000000002</v>
      </c>
      <c r="AE14" s="6">
        <v>2579.6579999999999</v>
      </c>
      <c r="AF14" s="6">
        <v>3.947473</v>
      </c>
      <c r="AG14" s="6">
        <v>67.947190000000006</v>
      </c>
      <c r="AH14" s="6">
        <v>16.902290000000001</v>
      </c>
      <c r="AI14" s="6">
        <v>0</v>
      </c>
      <c r="AJ14" s="6">
        <v>0</v>
      </c>
      <c r="AK14" s="6">
        <v>0</v>
      </c>
      <c r="AL14" s="6">
        <v>0</v>
      </c>
      <c r="AM14" s="5" t="s">
        <v>80</v>
      </c>
      <c r="AN14" s="5" t="s">
        <v>81</v>
      </c>
      <c r="AO14" s="5"/>
      <c r="AP14" s="6">
        <v>0.295547</v>
      </c>
      <c r="AQ14" s="6">
        <v>0.13123799999999999</v>
      </c>
      <c r="AR14" s="6">
        <v>-3.143E-2</v>
      </c>
      <c r="AS14" s="6">
        <v>0.13066700000000001</v>
      </c>
      <c r="AT14" s="5"/>
      <c r="AU14" s="5"/>
      <c r="AV14" s="6">
        <v>7.9707E-2</v>
      </c>
      <c r="AW14" s="6">
        <v>5.1531E-2</v>
      </c>
      <c r="AX14" s="6">
        <v>4.7726999999999999E-2</v>
      </c>
      <c r="AY14" s="6">
        <v>0.238404</v>
      </c>
      <c r="AZ14" s="6">
        <v>4.6142000000000002E-2</v>
      </c>
      <c r="BA14" s="5"/>
      <c r="BB14" s="5"/>
      <c r="BC14" s="5"/>
      <c r="BD14" s="6">
        <v>0.11459999999999999</v>
      </c>
      <c r="BE14" s="6">
        <v>5.7142999999999999E-2</v>
      </c>
      <c r="BF14" s="6">
        <v>0.15453500000000001</v>
      </c>
      <c r="BG14" s="6">
        <v>0.17260900000000001</v>
      </c>
      <c r="BH14" s="6">
        <v>4.9616E-2</v>
      </c>
    </row>
    <row r="15" spans="1:60" ht="15.75" customHeight="1" x14ac:dyDescent="0.2">
      <c r="A15" s="8">
        <v>1981</v>
      </c>
      <c r="B15" s="5">
        <v>90.34</v>
      </c>
      <c r="C15" s="3">
        <f>'Median Price of new US Homes'!D15</f>
        <v>68950</v>
      </c>
      <c r="D15" s="5" t="s">
        <v>79</v>
      </c>
      <c r="E15" s="6">
        <v>229966.2</v>
      </c>
      <c r="F15" s="6">
        <v>65.416110000000003</v>
      </c>
      <c r="G15" s="6">
        <v>18855.55</v>
      </c>
      <c r="H15" s="6">
        <v>61.479700000000001</v>
      </c>
      <c r="I15" s="6">
        <v>55.082500000000003</v>
      </c>
      <c r="J15" s="6">
        <v>3207.0419999999999</v>
      </c>
      <c r="K15" s="6">
        <v>0.207701</v>
      </c>
      <c r="L15" s="6">
        <v>70.288020000000003</v>
      </c>
      <c r="M15" s="6">
        <v>4.8099999999999996</v>
      </c>
      <c r="N15" s="6">
        <v>317.75</v>
      </c>
      <c r="O15" s="6">
        <v>305.22500000000002</v>
      </c>
      <c r="P15" s="6">
        <v>150.00200000000001</v>
      </c>
      <c r="Q15" s="6">
        <v>1679.5920000000001</v>
      </c>
      <c r="R15" s="6">
        <v>16.39</v>
      </c>
      <c r="S15" s="6">
        <v>13.9108</v>
      </c>
      <c r="T15" s="6">
        <v>65.416110000000003</v>
      </c>
      <c r="U15" s="6">
        <v>7.6</v>
      </c>
      <c r="V15" s="6">
        <v>73.776399999999995</v>
      </c>
      <c r="W15" s="6">
        <v>0.317</v>
      </c>
      <c r="X15" s="6">
        <v>599.27200000000005</v>
      </c>
      <c r="Y15" s="6">
        <v>678.24099999999999</v>
      </c>
      <c r="Z15" s="6">
        <v>1</v>
      </c>
      <c r="AA15" s="6">
        <v>1624.3430000000001</v>
      </c>
      <c r="AB15" s="6">
        <v>945.53700000000003</v>
      </c>
      <c r="AC15" s="6">
        <v>1040.182</v>
      </c>
      <c r="AD15" s="6">
        <v>584.16099999999994</v>
      </c>
      <c r="AE15" s="6">
        <v>2897.8620000000001</v>
      </c>
      <c r="AF15" s="6">
        <v>3.9800620000000002</v>
      </c>
      <c r="AG15" s="6">
        <v>70.501869999999997</v>
      </c>
      <c r="AH15" s="6">
        <v>18.449860000000001</v>
      </c>
      <c r="AI15" s="6">
        <v>0</v>
      </c>
      <c r="AJ15" s="6">
        <v>0</v>
      </c>
      <c r="AK15" s="6">
        <v>0</v>
      </c>
      <c r="AL15" s="6">
        <v>0</v>
      </c>
      <c r="AM15" s="5" t="s">
        <v>80</v>
      </c>
      <c r="AN15" s="5" t="s">
        <v>81</v>
      </c>
      <c r="AO15" s="5"/>
      <c r="AP15" s="6">
        <v>-2.3E-2</v>
      </c>
      <c r="AQ15" s="6">
        <v>0.10306899999999999</v>
      </c>
      <c r="AR15" s="6">
        <v>-6.7000000000000002E-4</v>
      </c>
      <c r="AS15" s="6">
        <v>0.159108</v>
      </c>
      <c r="AT15" s="5"/>
      <c r="AU15" s="5"/>
      <c r="AV15" s="6">
        <v>5.0327999999999998E-2</v>
      </c>
      <c r="AW15" s="6">
        <v>5.2741000000000003E-2</v>
      </c>
      <c r="AX15" s="6">
        <v>5.0214000000000002E-2</v>
      </c>
      <c r="AY15" s="6">
        <v>-7.2660000000000002E-2</v>
      </c>
      <c r="AZ15" s="6">
        <v>5.3553999999999997E-2</v>
      </c>
      <c r="BA15" s="5"/>
      <c r="BB15" s="5"/>
      <c r="BC15" s="5"/>
      <c r="BD15" s="6">
        <v>0.13910800000000001</v>
      </c>
      <c r="BE15" s="6">
        <v>4.9662999999999999E-2</v>
      </c>
      <c r="BF15" s="6">
        <v>7.5950000000000004E-2</v>
      </c>
      <c r="BG15" s="6">
        <v>7.5370999999999994E-2</v>
      </c>
      <c r="BH15" s="6">
        <v>7.9221E-2</v>
      </c>
    </row>
    <row r="16" spans="1:60" ht="15.75" customHeight="1" x14ac:dyDescent="0.2">
      <c r="A16" s="8">
        <v>1982</v>
      </c>
      <c r="B16" s="5">
        <v>88.52</v>
      </c>
      <c r="C16" s="3">
        <f>'Median Price of new US Homes'!D16</f>
        <v>69225</v>
      </c>
      <c r="D16" s="5" t="s">
        <v>79</v>
      </c>
      <c r="E16" s="6">
        <v>232187.8</v>
      </c>
      <c r="F16" s="6">
        <v>67.563389999999998</v>
      </c>
      <c r="G16" s="6">
        <v>18325.12</v>
      </c>
      <c r="H16" s="6">
        <v>59.700119999999998</v>
      </c>
      <c r="I16" s="6">
        <v>55.3294</v>
      </c>
      <c r="J16" s="6">
        <v>3343.7890000000002</v>
      </c>
      <c r="K16" s="6">
        <v>0.198098</v>
      </c>
      <c r="L16" s="6">
        <v>74.532589999999999</v>
      </c>
      <c r="M16" s="6">
        <v>-11.606999999999999</v>
      </c>
      <c r="N16" s="6">
        <v>303.2</v>
      </c>
      <c r="O16" s="6">
        <v>283.2</v>
      </c>
      <c r="P16" s="6">
        <v>163.01900000000001</v>
      </c>
      <c r="Q16" s="6">
        <v>1831.442</v>
      </c>
      <c r="R16" s="6">
        <v>12.24</v>
      </c>
      <c r="S16" s="6">
        <v>13.0008</v>
      </c>
      <c r="T16" s="6">
        <v>67.563389999999998</v>
      </c>
      <c r="U16" s="6">
        <v>9.6999999999999993</v>
      </c>
      <c r="V16" s="6">
        <v>78.396019999999993</v>
      </c>
      <c r="W16" s="6">
        <v>0.34300000000000003</v>
      </c>
      <c r="X16" s="6">
        <v>617.76599999999996</v>
      </c>
      <c r="Y16" s="6">
        <v>745.74300000000005</v>
      </c>
      <c r="Z16" s="6">
        <v>1</v>
      </c>
      <c r="AA16" s="6">
        <v>1690.665</v>
      </c>
      <c r="AB16" s="6">
        <v>954.40499999999997</v>
      </c>
      <c r="AC16" s="6">
        <v>1046.0440000000001</v>
      </c>
      <c r="AD16" s="6">
        <v>644.62099999999998</v>
      </c>
      <c r="AE16" s="6">
        <v>3134.8380000000002</v>
      </c>
      <c r="AF16" s="6">
        <v>4.0232340000000004</v>
      </c>
      <c r="AG16" s="6">
        <v>71.002449999999996</v>
      </c>
      <c r="AH16" s="6">
        <v>18.973330000000001</v>
      </c>
      <c r="AI16" s="6">
        <v>0</v>
      </c>
      <c r="AJ16" s="6">
        <v>0</v>
      </c>
      <c r="AK16" s="6">
        <v>0</v>
      </c>
      <c r="AL16" s="6">
        <v>0</v>
      </c>
      <c r="AM16" s="5" t="s">
        <v>80</v>
      </c>
      <c r="AN16" s="5" t="s">
        <v>81</v>
      </c>
      <c r="AO16" s="5"/>
      <c r="AP16" s="6">
        <v>0.181502</v>
      </c>
      <c r="AQ16" s="6">
        <v>8.7195999999999996E-2</v>
      </c>
      <c r="AR16" s="6">
        <v>0.36341499999999999</v>
      </c>
      <c r="AS16" s="6">
        <v>0.122708</v>
      </c>
      <c r="AT16" s="5"/>
      <c r="AU16" s="5"/>
      <c r="AV16" s="6">
        <v>3.2825E-2</v>
      </c>
      <c r="AW16" s="6">
        <v>5.4371000000000003E-2</v>
      </c>
      <c r="AX16" s="6">
        <v>5.2643000000000002E-2</v>
      </c>
      <c r="AY16" s="6">
        <v>0.12601000000000001</v>
      </c>
      <c r="AZ16" s="6">
        <v>4.9283E-2</v>
      </c>
      <c r="BA16" s="5"/>
      <c r="BB16" s="5"/>
      <c r="BC16" s="5"/>
      <c r="BD16" s="6">
        <v>0.13000800000000001</v>
      </c>
      <c r="BE16" s="6">
        <v>5.5493000000000001E-2</v>
      </c>
      <c r="BF16" s="6">
        <v>0.13031599999999999</v>
      </c>
      <c r="BG16" s="6">
        <v>0.109405</v>
      </c>
      <c r="BH16" s="6">
        <v>0.243062</v>
      </c>
    </row>
    <row r="17" spans="1:60" ht="15.75" customHeight="1" x14ac:dyDescent="0.2">
      <c r="A17" s="8">
        <v>1983</v>
      </c>
      <c r="B17" s="5">
        <v>141.91999999999999</v>
      </c>
      <c r="C17" s="3">
        <f>'Median Price of new US Homes'!D17</f>
        <v>75375</v>
      </c>
      <c r="D17" s="5" t="s">
        <v>79</v>
      </c>
      <c r="E17" s="6">
        <v>234307.20000000001</v>
      </c>
      <c r="F17" s="6">
        <v>70.18683</v>
      </c>
      <c r="G17" s="6">
        <v>18920.16</v>
      </c>
      <c r="H17" s="6">
        <v>61.849829999999997</v>
      </c>
      <c r="I17" s="6">
        <v>57.983400000000003</v>
      </c>
      <c r="J17" s="6">
        <v>3634.038</v>
      </c>
      <c r="K17" s="6">
        <v>0.19603300000000001</v>
      </c>
      <c r="L17" s="6">
        <v>77.71602</v>
      </c>
      <c r="M17" s="6">
        <v>-44.222000000000001</v>
      </c>
      <c r="N17" s="6">
        <v>328.67500000000001</v>
      </c>
      <c r="O17" s="6">
        <v>277</v>
      </c>
      <c r="P17" s="6">
        <v>180.178</v>
      </c>
      <c r="Q17" s="6">
        <v>2054.7829999999999</v>
      </c>
      <c r="R17" s="6">
        <v>9.09</v>
      </c>
      <c r="S17" s="6">
        <v>11.105</v>
      </c>
      <c r="T17" s="6">
        <v>70.18683</v>
      </c>
      <c r="U17" s="6">
        <v>9.6</v>
      </c>
      <c r="V17" s="6">
        <v>81.521550000000005</v>
      </c>
      <c r="W17" s="6">
        <v>0.38700000000000001</v>
      </c>
      <c r="X17" s="6">
        <v>600.56200000000001</v>
      </c>
      <c r="Y17" s="6">
        <v>808.36400000000003</v>
      </c>
      <c r="Z17" s="6">
        <v>1</v>
      </c>
      <c r="AA17" s="6">
        <v>1873.9179999999999</v>
      </c>
      <c r="AB17" s="6">
        <v>1071.7270000000001</v>
      </c>
      <c r="AC17" s="6">
        <v>1162.989</v>
      </c>
      <c r="AD17" s="6">
        <v>710.92899999999997</v>
      </c>
      <c r="AE17" s="6">
        <v>3370.3530000000001</v>
      </c>
      <c r="AF17" s="6">
        <v>4.1498710000000001</v>
      </c>
      <c r="AG17" s="6">
        <v>70.627179999999996</v>
      </c>
      <c r="AH17" s="6">
        <v>17.925190000000001</v>
      </c>
      <c r="AI17" s="6">
        <v>0</v>
      </c>
      <c r="AJ17" s="6">
        <v>0</v>
      </c>
      <c r="AK17" s="6">
        <v>0</v>
      </c>
      <c r="AL17" s="6">
        <v>0</v>
      </c>
      <c r="AM17" s="5" t="s">
        <v>80</v>
      </c>
      <c r="AN17" s="5" t="s">
        <v>81</v>
      </c>
      <c r="AO17" s="5"/>
      <c r="AP17" s="6">
        <v>0.23020099999999999</v>
      </c>
      <c r="AQ17" s="6">
        <v>9.468E-2</v>
      </c>
      <c r="AR17" s="6">
        <v>1.2692E-2</v>
      </c>
      <c r="AS17" s="6">
        <v>9.0666999999999998E-2</v>
      </c>
      <c r="AT17" s="5"/>
      <c r="AU17" s="5"/>
      <c r="AV17" s="6">
        <v>3.8829000000000002E-2</v>
      </c>
      <c r="AW17" s="6">
        <v>5.5850999999999998E-2</v>
      </c>
      <c r="AX17" s="6">
        <v>5.3763999999999999E-2</v>
      </c>
      <c r="AY17" s="6">
        <v>0.17934</v>
      </c>
      <c r="AZ17" s="6">
        <v>4.3126999999999999E-2</v>
      </c>
      <c r="BA17" s="5"/>
      <c r="BB17" s="5"/>
      <c r="BC17" s="5"/>
      <c r="BD17" s="6">
        <v>0.11105</v>
      </c>
      <c r="BE17" s="6">
        <v>5.0861000000000003E-2</v>
      </c>
      <c r="BF17" s="6">
        <v>0.11723799999999999</v>
      </c>
      <c r="BG17" s="6">
        <v>0.130859</v>
      </c>
      <c r="BH17" s="6">
        <v>5.1679000000000003E-2</v>
      </c>
    </row>
    <row r="18" spans="1:60" ht="15.75" customHeight="1" x14ac:dyDescent="0.2">
      <c r="A18" s="8">
        <v>1984</v>
      </c>
      <c r="B18" s="5">
        <v>145.78</v>
      </c>
      <c r="C18" s="3">
        <f>'Median Price of new US Homes'!D18</f>
        <v>79950</v>
      </c>
      <c r="D18" s="5" t="s">
        <v>79</v>
      </c>
      <c r="E18" s="6">
        <v>236348.3</v>
      </c>
      <c r="F18" s="6">
        <v>73.215149999999994</v>
      </c>
      <c r="G18" s="6">
        <v>20122.669999999998</v>
      </c>
      <c r="H18" s="6">
        <v>65.757469999999998</v>
      </c>
      <c r="I18" s="6">
        <v>60.5565</v>
      </c>
      <c r="J18" s="6">
        <v>4037.6129999999998</v>
      </c>
      <c r="K18" s="6">
        <v>0.20594399999999999</v>
      </c>
      <c r="L18" s="6">
        <v>80.949969999999993</v>
      </c>
      <c r="M18" s="6">
        <v>-99.007999999999996</v>
      </c>
      <c r="N18" s="6">
        <v>405.125</v>
      </c>
      <c r="O18" s="6">
        <v>302.375</v>
      </c>
      <c r="P18" s="6">
        <v>192.726</v>
      </c>
      <c r="Q18" s="6">
        <v>2219.317</v>
      </c>
      <c r="R18" s="6">
        <v>10.23</v>
      </c>
      <c r="S18" s="6">
        <v>12.4383</v>
      </c>
      <c r="T18" s="6">
        <v>73.215149999999994</v>
      </c>
      <c r="U18" s="6">
        <v>7.5</v>
      </c>
      <c r="V18" s="6">
        <v>84.853170000000006</v>
      </c>
      <c r="W18" s="6">
        <v>0.39600000000000002</v>
      </c>
      <c r="X18" s="6">
        <v>666.43799999999999</v>
      </c>
      <c r="Y18" s="6">
        <v>851.80499999999995</v>
      </c>
      <c r="Z18" s="6">
        <v>1</v>
      </c>
      <c r="AA18" s="6">
        <v>2182.1210000000001</v>
      </c>
      <c r="AB18" s="6">
        <v>1249.6420000000001</v>
      </c>
      <c r="AC18" s="6">
        <v>1355.5709999999999</v>
      </c>
      <c r="AD18" s="6">
        <v>826.92200000000003</v>
      </c>
      <c r="AE18" s="6">
        <v>3794.3490000000002</v>
      </c>
      <c r="AF18" s="6">
        <v>4.291741</v>
      </c>
      <c r="AG18" s="6">
        <v>75.901430000000005</v>
      </c>
      <c r="AH18" s="6">
        <v>18.251799999999999</v>
      </c>
      <c r="AI18" s="6">
        <v>1</v>
      </c>
      <c r="AJ18" s="6">
        <v>1</v>
      </c>
      <c r="AK18" s="6">
        <v>0</v>
      </c>
      <c r="AL18" s="6">
        <v>0</v>
      </c>
      <c r="AM18" s="5" t="s">
        <v>80</v>
      </c>
      <c r="AN18" s="5" t="s">
        <v>81</v>
      </c>
      <c r="AO18" s="5"/>
      <c r="AP18" s="6">
        <v>4.6411000000000001E-2</v>
      </c>
      <c r="AQ18" s="6">
        <v>0.100836</v>
      </c>
      <c r="AR18" s="6">
        <v>0.149898</v>
      </c>
      <c r="AS18" s="6">
        <v>0.10365000000000001</v>
      </c>
      <c r="AT18" s="5"/>
      <c r="AU18" s="5"/>
      <c r="AV18" s="6">
        <v>4.3145999999999997E-2</v>
      </c>
      <c r="AW18" s="6">
        <v>5.7689999999999998E-2</v>
      </c>
      <c r="AX18" s="6">
        <v>5.5303999999999999E-2</v>
      </c>
      <c r="AY18" s="6">
        <v>6.0800000000000003E-4</v>
      </c>
      <c r="AZ18" s="6">
        <v>4.5775000000000003E-2</v>
      </c>
      <c r="BA18" s="5"/>
      <c r="BB18" s="5"/>
      <c r="BC18" s="5"/>
      <c r="BD18" s="6">
        <v>0.12438299999999999</v>
      </c>
      <c r="BE18" s="6">
        <v>4.5803000000000003E-2</v>
      </c>
      <c r="BF18" s="6">
        <v>9.5644999999999994E-2</v>
      </c>
      <c r="BG18" s="6">
        <v>8.8729000000000002E-2</v>
      </c>
      <c r="BH18" s="6">
        <v>0.126774</v>
      </c>
    </row>
    <row r="19" spans="1:60" ht="15.75" customHeight="1" x14ac:dyDescent="0.2">
      <c r="A19" s="8">
        <v>1985</v>
      </c>
      <c r="B19" s="5">
        <v>145.13999999999999</v>
      </c>
      <c r="C19" s="3">
        <f>'Median Price of new US Homes'!D19</f>
        <v>84275</v>
      </c>
      <c r="D19" s="5" t="s">
        <v>79</v>
      </c>
      <c r="E19" s="6">
        <v>238466.3</v>
      </c>
      <c r="F19" s="6">
        <v>76.957719999999995</v>
      </c>
      <c r="G19" s="6">
        <v>20717.32</v>
      </c>
      <c r="H19" s="6">
        <v>67.888180000000006</v>
      </c>
      <c r="I19" s="6">
        <v>63.163400000000003</v>
      </c>
      <c r="J19" s="6">
        <v>4338.9790000000003</v>
      </c>
      <c r="K19" s="6">
        <v>0.207043</v>
      </c>
      <c r="L19" s="6">
        <v>83.729159999999993</v>
      </c>
      <c r="M19" s="6">
        <v>-124.455</v>
      </c>
      <c r="N19" s="6">
        <v>417.25</v>
      </c>
      <c r="O19" s="6">
        <v>302.02499999999998</v>
      </c>
      <c r="P19" s="6">
        <v>211.08099999999999</v>
      </c>
      <c r="Q19" s="6">
        <v>2416.6669999999999</v>
      </c>
      <c r="R19" s="6">
        <v>8.1</v>
      </c>
      <c r="S19" s="6">
        <v>10.6233</v>
      </c>
      <c r="T19" s="6">
        <v>76.957719999999995</v>
      </c>
      <c r="U19" s="6">
        <v>7.2</v>
      </c>
      <c r="V19" s="6">
        <v>88.081739999999996</v>
      </c>
      <c r="W19" s="6">
        <v>0.42599999999999999</v>
      </c>
      <c r="X19" s="6">
        <v>734.03700000000003</v>
      </c>
      <c r="Y19" s="6">
        <v>946.34400000000005</v>
      </c>
      <c r="Z19" s="6">
        <v>1</v>
      </c>
      <c r="AA19" s="6">
        <v>2414.8139999999999</v>
      </c>
      <c r="AB19" s="6">
        <v>1359.106</v>
      </c>
      <c r="AC19" s="6">
        <v>1484.742</v>
      </c>
      <c r="AD19" s="6">
        <v>930.43499999999995</v>
      </c>
      <c r="AE19" s="6">
        <v>4254.13</v>
      </c>
      <c r="AF19" s="6">
        <v>4.3395380000000001</v>
      </c>
      <c r="AG19" s="6">
        <v>75.895219999999995</v>
      </c>
      <c r="AH19" s="6">
        <v>18.914739999999998</v>
      </c>
      <c r="AI19" s="6">
        <v>0</v>
      </c>
      <c r="AJ19" s="6">
        <v>0</v>
      </c>
      <c r="AK19" s="6">
        <v>0</v>
      </c>
      <c r="AL19" s="6">
        <v>0</v>
      </c>
      <c r="AM19" s="5" t="s">
        <v>80</v>
      </c>
      <c r="AN19" s="5" t="s">
        <v>81</v>
      </c>
      <c r="AO19" s="5"/>
      <c r="AP19" s="6">
        <v>0.30820700000000001</v>
      </c>
      <c r="AQ19" s="6">
        <v>0.110236</v>
      </c>
      <c r="AR19" s="6">
        <v>0.29332799999999998</v>
      </c>
      <c r="AS19" s="6">
        <v>8.0475000000000005E-2</v>
      </c>
      <c r="AT19" s="5"/>
      <c r="AU19" s="5"/>
      <c r="AV19" s="6">
        <v>5.1117999999999997E-2</v>
      </c>
      <c r="AW19" s="6">
        <v>5.9117999999999997E-2</v>
      </c>
      <c r="AX19" s="6">
        <v>5.6243000000000001E-2</v>
      </c>
      <c r="AY19" s="6">
        <v>0.26018200000000002</v>
      </c>
      <c r="AZ19" s="6">
        <v>3.8108999999999997E-2</v>
      </c>
      <c r="BA19" s="5"/>
      <c r="BB19" s="5"/>
      <c r="BC19" s="5"/>
      <c r="BD19" s="6">
        <v>0.10623299999999999</v>
      </c>
      <c r="BE19" s="6">
        <v>4.8023999999999997E-2</v>
      </c>
      <c r="BF19" s="6">
        <v>0.16738400000000001</v>
      </c>
      <c r="BG19" s="6">
        <v>0.16318299999999999</v>
      </c>
      <c r="BH19" s="6">
        <v>0.18690100000000001</v>
      </c>
    </row>
    <row r="20" spans="1:60" ht="15.75" customHeight="1" x14ac:dyDescent="0.2">
      <c r="A20" s="8">
        <v>1986</v>
      </c>
      <c r="B20" s="5">
        <v>150.44999999999999</v>
      </c>
      <c r="C20" s="3">
        <f>'Median Price of new US Homes'!D20</f>
        <v>92025</v>
      </c>
      <c r="D20" s="5" t="s">
        <v>79</v>
      </c>
      <c r="E20" s="6">
        <v>240650.8</v>
      </c>
      <c r="F20" s="6">
        <v>82.171239999999997</v>
      </c>
      <c r="G20" s="6">
        <v>21236.09</v>
      </c>
      <c r="H20" s="6">
        <v>69.611630000000005</v>
      </c>
      <c r="I20" s="6">
        <v>65.138900000000007</v>
      </c>
      <c r="J20" s="6">
        <v>4579.6310000000003</v>
      </c>
      <c r="K20" s="6">
        <v>0.20475099999999999</v>
      </c>
      <c r="L20" s="6">
        <v>85.194540000000003</v>
      </c>
      <c r="M20" s="6">
        <v>-147.17400000000001</v>
      </c>
      <c r="N20" s="6">
        <v>452.85</v>
      </c>
      <c r="O20" s="6">
        <v>320.35000000000002</v>
      </c>
      <c r="P20" s="6">
        <v>232.33</v>
      </c>
      <c r="Q20" s="6">
        <v>2613.5329999999999</v>
      </c>
      <c r="R20" s="6">
        <v>6.8</v>
      </c>
      <c r="S20" s="6">
        <v>7.6825000000000001</v>
      </c>
      <c r="T20" s="6">
        <v>82.171239999999997</v>
      </c>
      <c r="U20" s="6">
        <v>7</v>
      </c>
      <c r="V20" s="6">
        <v>89.833420000000004</v>
      </c>
      <c r="W20" s="6">
        <v>0.46800000000000003</v>
      </c>
      <c r="X20" s="6">
        <v>769.15499999999997</v>
      </c>
      <c r="Y20" s="6">
        <v>990.38199999999995</v>
      </c>
      <c r="Z20" s="6">
        <v>1</v>
      </c>
      <c r="AA20" s="6">
        <v>2667.1750000000002</v>
      </c>
      <c r="AB20" s="6">
        <v>1530.7470000000001</v>
      </c>
      <c r="AC20" s="6">
        <v>1640.8030000000001</v>
      </c>
      <c r="AD20" s="6">
        <v>1030.069</v>
      </c>
      <c r="AE20" s="6">
        <v>4461.6989999999996</v>
      </c>
      <c r="AF20" s="6">
        <v>4.3825219999999998</v>
      </c>
      <c r="AG20" s="6">
        <v>75.652119999999996</v>
      </c>
      <c r="AH20" s="6">
        <v>18.788329999999998</v>
      </c>
      <c r="AI20" s="6">
        <v>0</v>
      </c>
      <c r="AJ20" s="6">
        <v>0</v>
      </c>
      <c r="AK20" s="6">
        <v>0</v>
      </c>
      <c r="AL20" s="6">
        <v>0</v>
      </c>
      <c r="AM20" s="5" t="s">
        <v>80</v>
      </c>
      <c r="AN20" s="5" t="s">
        <v>81</v>
      </c>
      <c r="AO20" s="5"/>
      <c r="AP20" s="6">
        <v>0.23916999999999999</v>
      </c>
      <c r="AQ20" s="6">
        <v>0.12733</v>
      </c>
      <c r="AR20" s="6">
        <v>0.25966699999999998</v>
      </c>
      <c r="AS20" s="6">
        <v>6.5183000000000005E-2</v>
      </c>
      <c r="AT20" s="5"/>
      <c r="AU20" s="5"/>
      <c r="AV20" s="6">
        <v>6.7745E-2</v>
      </c>
      <c r="AW20" s="6">
        <v>5.9584999999999999E-2</v>
      </c>
      <c r="AX20" s="6">
        <v>5.5803999999999999E-2</v>
      </c>
      <c r="AY20" s="6">
        <v>0.19922799999999999</v>
      </c>
      <c r="AZ20" s="6">
        <v>3.3307000000000003E-2</v>
      </c>
      <c r="BA20" s="5"/>
      <c r="BB20" s="5"/>
      <c r="BC20" s="5"/>
      <c r="BD20" s="6">
        <v>7.6825000000000004E-2</v>
      </c>
      <c r="BE20" s="6">
        <v>3.9941999999999998E-2</v>
      </c>
      <c r="BF20" s="6">
        <v>0.15837799999999999</v>
      </c>
      <c r="BG20" s="6">
        <v>0.15745700000000001</v>
      </c>
      <c r="BH20" s="6">
        <v>0.16242500000000001</v>
      </c>
    </row>
    <row r="21" spans="1:60" ht="15.75" customHeight="1" x14ac:dyDescent="0.2">
      <c r="A21" s="8">
        <v>1987</v>
      </c>
      <c r="B21" s="5">
        <v>135.05000000000001</v>
      </c>
      <c r="C21" s="3">
        <f>'Median Price of new US Homes'!D21</f>
        <v>104700</v>
      </c>
      <c r="D21" s="5" t="s">
        <v>79</v>
      </c>
      <c r="E21" s="6">
        <v>242803.5</v>
      </c>
      <c r="F21" s="6">
        <v>87.449960000000004</v>
      </c>
      <c r="G21" s="6">
        <v>21787.69</v>
      </c>
      <c r="H21" s="6">
        <v>71.336609999999993</v>
      </c>
      <c r="I21" s="6">
        <v>66.724699999999999</v>
      </c>
      <c r="J21" s="6">
        <v>4855.2150000000001</v>
      </c>
      <c r="K21" s="6">
        <v>0.19891400000000001</v>
      </c>
      <c r="L21" s="6">
        <v>88.125320000000002</v>
      </c>
      <c r="M21" s="6">
        <v>-160.64699999999999</v>
      </c>
      <c r="N21" s="6">
        <v>508.7</v>
      </c>
      <c r="O21" s="6">
        <v>363.77499999999998</v>
      </c>
      <c r="P21" s="6">
        <v>248.72800000000001</v>
      </c>
      <c r="Q21" s="6">
        <v>2783.7669999999998</v>
      </c>
      <c r="R21" s="6">
        <v>6.66</v>
      </c>
      <c r="S21" s="6">
        <v>8.3841699999999992</v>
      </c>
      <c r="T21" s="6">
        <v>87.449960000000004</v>
      </c>
      <c r="U21" s="6">
        <v>6.2</v>
      </c>
      <c r="V21" s="6">
        <v>91.499229999999997</v>
      </c>
      <c r="W21" s="6">
        <v>0.49199999999999999</v>
      </c>
      <c r="X21" s="6">
        <v>854.28700000000003</v>
      </c>
      <c r="Y21" s="6">
        <v>1004.0170000000001</v>
      </c>
      <c r="Z21" s="6">
        <v>1</v>
      </c>
      <c r="AA21" s="6">
        <v>2889.2060000000001</v>
      </c>
      <c r="AB21" s="6">
        <v>1748.01</v>
      </c>
      <c r="AC21" s="6">
        <v>1804.6659999999999</v>
      </c>
      <c r="AD21" s="6">
        <v>1103.971</v>
      </c>
      <c r="AE21" s="6">
        <v>4731.2150000000001</v>
      </c>
      <c r="AF21" s="6">
        <v>4.2178690000000003</v>
      </c>
      <c r="AG21" s="6">
        <v>76.185730000000007</v>
      </c>
      <c r="AH21" s="6">
        <v>18.72194</v>
      </c>
      <c r="AI21" s="6">
        <v>0</v>
      </c>
      <c r="AJ21" s="6">
        <v>0</v>
      </c>
      <c r="AK21" s="6">
        <v>0</v>
      </c>
      <c r="AL21" s="6">
        <v>0</v>
      </c>
      <c r="AM21" s="5" t="s">
        <v>80</v>
      </c>
      <c r="AN21" s="5" t="s">
        <v>81</v>
      </c>
      <c r="AO21" s="5"/>
      <c r="AP21" s="6">
        <v>4.8669999999999998E-3</v>
      </c>
      <c r="AQ21" s="6">
        <v>0.12214700000000001</v>
      </c>
      <c r="AR21" s="6">
        <v>-3.1140000000000001E-2</v>
      </c>
      <c r="AS21" s="6">
        <v>6.8608000000000002E-2</v>
      </c>
      <c r="AT21" s="5"/>
      <c r="AU21" s="5"/>
      <c r="AV21" s="6">
        <v>6.4241000000000006E-2</v>
      </c>
      <c r="AW21" s="6">
        <v>5.7905999999999999E-2</v>
      </c>
      <c r="AX21" s="6">
        <v>5.4411000000000001E-2</v>
      </c>
      <c r="AY21" s="6">
        <v>-3.057E-2</v>
      </c>
      <c r="AZ21" s="6">
        <v>3.6555999999999998E-2</v>
      </c>
      <c r="BA21" s="5"/>
      <c r="BB21" s="5"/>
      <c r="BC21" s="5"/>
      <c r="BD21" s="6">
        <v>8.3842E-2</v>
      </c>
      <c r="BE21" s="6">
        <v>3.5437999999999997E-2</v>
      </c>
      <c r="BF21" s="6">
        <v>7.8049999999999994E-2</v>
      </c>
      <c r="BG21" s="6">
        <v>9.2304999999999998E-2</v>
      </c>
      <c r="BH21" s="6">
        <v>1.8733E-2</v>
      </c>
    </row>
    <row r="22" spans="1:60" ht="15.75" customHeight="1" x14ac:dyDescent="0.2">
      <c r="A22" s="8">
        <v>1988</v>
      </c>
      <c r="B22" s="5">
        <v>124</v>
      </c>
      <c r="C22" s="3">
        <f>'Median Price of new US Homes'!D22</f>
        <v>112225</v>
      </c>
      <c r="D22" s="5" t="s">
        <v>79</v>
      </c>
      <c r="E22" s="6">
        <v>245021.4</v>
      </c>
      <c r="F22" s="6">
        <v>92.122100000000003</v>
      </c>
      <c r="G22" s="6">
        <v>22499.439999999999</v>
      </c>
      <c r="H22" s="6">
        <v>73.634280000000004</v>
      </c>
      <c r="I22" s="6">
        <v>68.820499999999996</v>
      </c>
      <c r="J22" s="6">
        <v>5236.4380000000001</v>
      </c>
      <c r="K22" s="6">
        <v>0.19395399999999999</v>
      </c>
      <c r="L22" s="6">
        <v>91.30874</v>
      </c>
      <c r="M22" s="6">
        <v>-121.258</v>
      </c>
      <c r="N22" s="6">
        <v>553.97500000000002</v>
      </c>
      <c r="O22" s="6">
        <v>443.9</v>
      </c>
      <c r="P22" s="6">
        <v>266.11700000000002</v>
      </c>
      <c r="Q22" s="6">
        <v>2933.433</v>
      </c>
      <c r="R22" s="6">
        <v>7.57</v>
      </c>
      <c r="S22" s="6">
        <v>8.8458299999999994</v>
      </c>
      <c r="T22" s="6">
        <v>92.122100000000003</v>
      </c>
      <c r="U22" s="6">
        <v>5.5</v>
      </c>
      <c r="V22" s="6">
        <v>93.989350000000002</v>
      </c>
      <c r="W22" s="6">
        <v>0.50600000000000001</v>
      </c>
      <c r="X22" s="6">
        <v>909.23800000000006</v>
      </c>
      <c r="Y22" s="6">
        <v>1064.4159999999999</v>
      </c>
      <c r="Z22" s="6">
        <v>1</v>
      </c>
      <c r="AA22" s="6">
        <v>3120.123</v>
      </c>
      <c r="AB22" s="6">
        <v>1917.7170000000001</v>
      </c>
      <c r="AC22" s="6">
        <v>1999.88</v>
      </c>
      <c r="AD22" s="6">
        <v>1144.606</v>
      </c>
      <c r="AE22" s="6">
        <v>5182.3580000000002</v>
      </c>
      <c r="AF22" s="6">
        <v>4.367502</v>
      </c>
      <c r="AG22" s="6">
        <v>77.545900000000003</v>
      </c>
      <c r="AH22" s="6">
        <v>18.781310000000001</v>
      </c>
      <c r="AI22" s="6">
        <v>0</v>
      </c>
      <c r="AJ22" s="6">
        <v>0</v>
      </c>
      <c r="AK22" s="6">
        <v>0</v>
      </c>
      <c r="AL22" s="6">
        <v>0</v>
      </c>
      <c r="AM22" s="5" t="s">
        <v>80</v>
      </c>
      <c r="AN22" s="5" t="s">
        <v>81</v>
      </c>
      <c r="AO22" s="5"/>
      <c r="AP22" s="6">
        <v>0.18775900000000001</v>
      </c>
      <c r="AQ22" s="6">
        <v>0.10976900000000001</v>
      </c>
      <c r="AR22" s="6">
        <v>7.4666999999999997E-2</v>
      </c>
      <c r="AS22" s="6">
        <v>7.7274999999999996E-2</v>
      </c>
      <c r="AT22" s="5"/>
      <c r="AU22" s="5"/>
      <c r="AV22" s="6">
        <v>5.3426000000000001E-2</v>
      </c>
      <c r="AW22" s="6">
        <v>5.6342999999999997E-2</v>
      </c>
      <c r="AX22" s="6">
        <v>5.3485999999999999E-2</v>
      </c>
      <c r="AY22" s="6">
        <v>0.14730299999999999</v>
      </c>
      <c r="AZ22" s="6">
        <v>3.5262000000000002E-2</v>
      </c>
      <c r="BA22" s="5"/>
      <c r="BB22" s="5"/>
      <c r="BC22" s="5"/>
      <c r="BD22" s="6">
        <v>8.8457999999999995E-2</v>
      </c>
      <c r="BE22" s="6">
        <v>4.0455999999999999E-2</v>
      </c>
      <c r="BF22" s="6">
        <v>0.119213</v>
      </c>
      <c r="BG22" s="6">
        <v>0.12982199999999999</v>
      </c>
      <c r="BH22" s="6">
        <v>7.5970999999999997E-2</v>
      </c>
    </row>
    <row r="23" spans="1:60" ht="15.75" customHeight="1" x14ac:dyDescent="0.2">
      <c r="A23" s="8">
        <v>1989</v>
      </c>
      <c r="B23" s="5">
        <v>114.68</v>
      </c>
      <c r="C23" s="3">
        <f>'Median Price of new US Homes'!D23</f>
        <v>120425</v>
      </c>
      <c r="D23" s="5" t="s">
        <v>79</v>
      </c>
      <c r="E23" s="6">
        <v>247341.7</v>
      </c>
      <c r="F23" s="6">
        <v>96.982290000000006</v>
      </c>
      <c r="G23" s="6">
        <v>23059.279999999999</v>
      </c>
      <c r="H23" s="6">
        <v>75.5428</v>
      </c>
      <c r="I23" s="6">
        <v>70.1066</v>
      </c>
      <c r="J23" s="6">
        <v>5641.58</v>
      </c>
      <c r="K23" s="6">
        <v>0.190607</v>
      </c>
      <c r="L23" s="6">
        <v>95.300659999999993</v>
      </c>
      <c r="M23" s="6">
        <v>-99.506</v>
      </c>
      <c r="N23" s="6">
        <v>591.04999999999995</v>
      </c>
      <c r="O23" s="6">
        <v>503.125</v>
      </c>
      <c r="P23" s="6">
        <v>276.95299999999997</v>
      </c>
      <c r="Q23" s="6">
        <v>3056.0830000000001</v>
      </c>
      <c r="R23" s="6">
        <v>9.2100000000000009</v>
      </c>
      <c r="S23" s="6">
        <v>8.4991699999999994</v>
      </c>
      <c r="T23" s="6">
        <v>96.982290000000006</v>
      </c>
      <c r="U23" s="6">
        <v>5.3</v>
      </c>
      <c r="V23" s="6">
        <v>96.754249999999999</v>
      </c>
      <c r="W23" s="6">
        <v>0.51600000000000001</v>
      </c>
      <c r="X23" s="6">
        <v>991.10400000000004</v>
      </c>
      <c r="Y23" s="6">
        <v>1143.7429999999999</v>
      </c>
      <c r="Z23" s="6">
        <v>1</v>
      </c>
      <c r="AA23" s="6">
        <v>3229.703</v>
      </c>
      <c r="AB23" s="6">
        <v>1970.08</v>
      </c>
      <c r="AC23" s="6">
        <v>2046.0309999999999</v>
      </c>
      <c r="AD23" s="6">
        <v>1212.538</v>
      </c>
      <c r="AE23" s="6">
        <v>5539.4089999999997</v>
      </c>
      <c r="AF23" s="6">
        <v>4.5326199999999996</v>
      </c>
      <c r="AG23" s="6">
        <v>78.652050000000003</v>
      </c>
      <c r="AH23" s="6">
        <v>19.090330000000002</v>
      </c>
      <c r="AI23" s="6">
        <v>0</v>
      </c>
      <c r="AJ23" s="6">
        <v>0</v>
      </c>
      <c r="AK23" s="6">
        <v>0</v>
      </c>
      <c r="AL23" s="6">
        <v>0</v>
      </c>
      <c r="AM23" s="5" t="s">
        <v>80</v>
      </c>
      <c r="AN23" s="5" t="s">
        <v>81</v>
      </c>
      <c r="AO23" s="5"/>
      <c r="AP23" s="6">
        <v>0.300759</v>
      </c>
      <c r="AQ23" s="6">
        <v>0.108478</v>
      </c>
      <c r="AR23" s="6">
        <v>0.18259500000000001</v>
      </c>
      <c r="AS23" s="6">
        <v>9.085E-2</v>
      </c>
      <c r="AT23" s="5"/>
      <c r="AU23" s="5"/>
      <c r="AV23" s="6">
        <v>5.2757999999999999E-2</v>
      </c>
      <c r="AW23" s="6">
        <v>5.5718999999999998E-2</v>
      </c>
      <c r="AX23" s="6">
        <v>5.2927000000000002E-2</v>
      </c>
      <c r="AY23" s="6">
        <v>0.26075900000000002</v>
      </c>
      <c r="AZ23" s="6">
        <v>3.1726999999999998E-2</v>
      </c>
      <c r="BA23" s="5"/>
      <c r="BB23" s="5"/>
      <c r="BC23" s="5"/>
      <c r="BD23" s="6">
        <v>8.4991999999999998E-2</v>
      </c>
      <c r="BE23" s="6">
        <v>0.04</v>
      </c>
      <c r="BF23" s="6">
        <v>0.15753300000000001</v>
      </c>
      <c r="BG23" s="6">
        <v>0.162577</v>
      </c>
      <c r="BH23" s="6">
        <v>0.13672200000000001</v>
      </c>
    </row>
    <row r="24" spans="1:60" ht="15.75" customHeight="1" x14ac:dyDescent="0.2">
      <c r="A24" s="8">
        <v>1990</v>
      </c>
      <c r="B24" s="5">
        <v>99.38</v>
      </c>
      <c r="C24" s="3">
        <f>'Median Price of new US Homes'!D24</f>
        <v>122300</v>
      </c>
      <c r="D24" s="5" t="s">
        <v>79</v>
      </c>
      <c r="E24" s="6">
        <v>250131.9</v>
      </c>
      <c r="F24" s="6">
        <v>100</v>
      </c>
      <c r="G24" s="6">
        <v>23200.560000000001</v>
      </c>
      <c r="H24" s="6">
        <v>76.102779999999996</v>
      </c>
      <c r="I24" s="6">
        <v>70.738200000000006</v>
      </c>
      <c r="J24" s="6">
        <v>5963.1440000000002</v>
      </c>
      <c r="K24" s="6">
        <v>0.183118</v>
      </c>
      <c r="L24" s="6">
        <v>100</v>
      </c>
      <c r="M24" s="6">
        <v>-78.951999999999998</v>
      </c>
      <c r="N24" s="6">
        <v>629.75</v>
      </c>
      <c r="O24" s="6">
        <v>552.125</v>
      </c>
      <c r="P24" s="6">
        <v>304.07</v>
      </c>
      <c r="Q24" s="6">
        <v>3223.5830000000001</v>
      </c>
      <c r="R24" s="6">
        <v>8.1</v>
      </c>
      <c r="S24" s="6">
        <v>8.5500000000000007</v>
      </c>
      <c r="T24" s="6">
        <v>100</v>
      </c>
      <c r="U24" s="6">
        <v>5.6</v>
      </c>
      <c r="V24" s="6">
        <v>100</v>
      </c>
      <c r="W24" s="6">
        <v>0.54400000000000004</v>
      </c>
      <c r="X24" s="6">
        <v>1031.9580000000001</v>
      </c>
      <c r="Y24" s="6">
        <v>1252.9929999999999</v>
      </c>
      <c r="Z24" s="6">
        <v>1</v>
      </c>
      <c r="AA24" s="6">
        <v>3253.8679999999999</v>
      </c>
      <c r="AB24" s="6">
        <v>2032.693</v>
      </c>
      <c r="AC24" s="6">
        <v>2113.431</v>
      </c>
      <c r="AD24" s="6">
        <v>1170.3520000000001</v>
      </c>
      <c r="AE24" s="6">
        <v>5675.29</v>
      </c>
      <c r="AF24" s="6">
        <v>5.7452490000000003</v>
      </c>
      <c r="AG24" s="6">
        <v>77.529110000000003</v>
      </c>
      <c r="AH24" s="6">
        <v>17.046849999999999</v>
      </c>
      <c r="AI24" s="6">
        <v>0</v>
      </c>
      <c r="AJ24" s="6">
        <v>0</v>
      </c>
      <c r="AK24" s="6">
        <v>0</v>
      </c>
      <c r="AL24" s="6">
        <v>0</v>
      </c>
      <c r="AM24" s="5" t="s">
        <v>80</v>
      </c>
      <c r="AN24" s="5" t="s">
        <v>81</v>
      </c>
      <c r="AO24" s="5"/>
      <c r="AP24" s="6">
        <v>-2.2259999999999999E-2</v>
      </c>
      <c r="AQ24" s="6">
        <v>8.6126999999999995E-2</v>
      </c>
      <c r="AR24" s="6">
        <v>5.4309000000000003E-2</v>
      </c>
      <c r="AS24" s="6">
        <v>8.1475000000000006E-2</v>
      </c>
      <c r="AT24" s="5"/>
      <c r="AU24" s="5"/>
      <c r="AV24" s="6">
        <v>3.1116000000000001E-2</v>
      </c>
      <c r="AW24" s="6">
        <v>5.5010999999999997E-2</v>
      </c>
      <c r="AX24" s="6">
        <v>5.3351000000000003E-2</v>
      </c>
      <c r="AY24" s="6">
        <v>-5.6939999999999998E-2</v>
      </c>
      <c r="AZ24" s="6">
        <v>3.6776000000000003E-2</v>
      </c>
      <c r="BA24" s="5"/>
      <c r="BB24" s="5"/>
      <c r="BC24" s="5"/>
      <c r="BD24" s="6">
        <v>8.5500000000000007E-2</v>
      </c>
      <c r="BE24" s="6">
        <v>3.4681999999999998E-2</v>
      </c>
      <c r="BF24" s="6">
        <v>6.0114000000000001E-2</v>
      </c>
      <c r="BG24" s="6">
        <v>5.7999000000000002E-2</v>
      </c>
      <c r="BH24" s="6">
        <v>6.7891999999999994E-2</v>
      </c>
    </row>
    <row r="25" spans="1:60" ht="15.75" customHeight="1" x14ac:dyDescent="0.2">
      <c r="A25" s="8">
        <v>1991</v>
      </c>
      <c r="B25" s="5">
        <v>84.5</v>
      </c>
      <c r="C25" s="3">
        <f>'Median Price of new US Homes'!D25</f>
        <v>119975</v>
      </c>
      <c r="D25" s="5" t="s">
        <v>79</v>
      </c>
      <c r="E25" s="6">
        <v>253492.5</v>
      </c>
      <c r="F25" s="6">
        <v>101.90309999999999</v>
      </c>
      <c r="G25" s="6">
        <v>22832.79</v>
      </c>
      <c r="H25" s="6">
        <v>74.950789999999998</v>
      </c>
      <c r="I25" s="6">
        <v>69.907499999999999</v>
      </c>
      <c r="J25" s="6">
        <v>6158.1289999999999</v>
      </c>
      <c r="K25" s="6">
        <v>0.193471</v>
      </c>
      <c r="L25" s="6">
        <v>103.6382</v>
      </c>
      <c r="M25" s="6">
        <v>2.851</v>
      </c>
      <c r="N25" s="6">
        <v>623.54999999999995</v>
      </c>
      <c r="O25" s="6">
        <v>595.29999999999995</v>
      </c>
      <c r="P25" s="6">
        <v>330.553</v>
      </c>
      <c r="Q25" s="6">
        <v>3342.183</v>
      </c>
      <c r="R25" s="6">
        <v>5.69</v>
      </c>
      <c r="S25" s="6">
        <v>7.8583299999999996</v>
      </c>
      <c r="T25" s="6">
        <v>101.90309999999999</v>
      </c>
      <c r="U25" s="6">
        <v>6.8</v>
      </c>
      <c r="V25" s="6">
        <v>104.0448</v>
      </c>
      <c r="W25" s="6">
        <v>0.59099999999999997</v>
      </c>
      <c r="X25" s="6">
        <v>1054.9880000000001</v>
      </c>
      <c r="Y25" s="6">
        <v>1324.2260000000001</v>
      </c>
      <c r="Z25" s="6">
        <v>1</v>
      </c>
      <c r="AA25" s="6">
        <v>3136.6149999999998</v>
      </c>
      <c r="AB25" s="6">
        <v>2009.2850000000001</v>
      </c>
      <c r="AC25" s="6">
        <v>2090.8409999999999</v>
      </c>
      <c r="AD25" s="6">
        <v>1103.8309999999999</v>
      </c>
      <c r="AE25" s="6">
        <v>5754.8609999999999</v>
      </c>
      <c r="AF25" s="6">
        <v>6.2280939999999996</v>
      </c>
      <c r="AG25" s="6">
        <v>74.325100000000006</v>
      </c>
      <c r="AH25" s="6">
        <v>16.45477</v>
      </c>
      <c r="AI25" s="6">
        <v>0</v>
      </c>
      <c r="AJ25" s="6">
        <v>0</v>
      </c>
      <c r="AK25" s="6">
        <v>0</v>
      </c>
      <c r="AL25" s="6">
        <v>0</v>
      </c>
      <c r="AM25" s="5" t="s">
        <v>80</v>
      </c>
      <c r="AN25" s="5" t="s">
        <v>81</v>
      </c>
      <c r="AO25" s="5"/>
      <c r="AP25" s="6">
        <v>0.21889</v>
      </c>
      <c r="AQ25" s="6">
        <v>7.4144000000000002E-2</v>
      </c>
      <c r="AR25" s="6">
        <v>0.17060800000000001</v>
      </c>
      <c r="AS25" s="6">
        <v>5.8349999999999999E-2</v>
      </c>
      <c r="AT25" s="5"/>
      <c r="AU25" s="5"/>
      <c r="AV25" s="6">
        <v>1.9029999999999998E-2</v>
      </c>
      <c r="AW25" s="6">
        <v>5.5114000000000003E-2</v>
      </c>
      <c r="AX25" s="6">
        <v>5.4085000000000001E-2</v>
      </c>
      <c r="AY25" s="6">
        <v>0.181779</v>
      </c>
      <c r="AZ25" s="6">
        <v>3.1401999999999999E-2</v>
      </c>
      <c r="BA25" s="5"/>
      <c r="BB25" s="5"/>
      <c r="BC25" s="5"/>
      <c r="BD25" s="6">
        <v>7.8583E-2</v>
      </c>
      <c r="BE25" s="6">
        <v>3.7109999999999997E-2</v>
      </c>
      <c r="BF25" s="6">
        <v>0.118724</v>
      </c>
      <c r="BG25" s="6">
        <v>0.119897</v>
      </c>
      <c r="BH25" s="6">
        <v>0.114479</v>
      </c>
    </row>
    <row r="26" spans="1:60" ht="15.75" customHeight="1" x14ac:dyDescent="0.2">
      <c r="A26" s="8">
        <v>1992</v>
      </c>
      <c r="B26" s="5">
        <v>99.97</v>
      </c>
      <c r="C26" s="3">
        <f>'Median Price of new US Homes'!D26</f>
        <v>121375</v>
      </c>
      <c r="D26" s="5" t="s">
        <v>79</v>
      </c>
      <c r="E26" s="6">
        <v>256894.2</v>
      </c>
      <c r="F26" s="6">
        <v>104.74039999999999</v>
      </c>
      <c r="G26" s="6">
        <v>23284.98</v>
      </c>
      <c r="H26" s="6">
        <v>76.396339999999995</v>
      </c>
      <c r="I26" s="6">
        <v>71.2196</v>
      </c>
      <c r="J26" s="6">
        <v>6520.3270000000002</v>
      </c>
      <c r="K26" s="6">
        <v>0.19769800000000001</v>
      </c>
      <c r="L26" s="6">
        <v>106.2153</v>
      </c>
      <c r="M26" s="6">
        <v>-51.604999999999997</v>
      </c>
      <c r="N26" s="6">
        <v>667.8</v>
      </c>
      <c r="O26" s="6">
        <v>633.07500000000005</v>
      </c>
      <c r="P26" s="6">
        <v>365.54399999999998</v>
      </c>
      <c r="Q26" s="6">
        <v>3403.6170000000002</v>
      </c>
      <c r="R26" s="6">
        <v>3.52</v>
      </c>
      <c r="S26" s="6">
        <v>7.01</v>
      </c>
      <c r="T26" s="6">
        <v>104.74039999999999</v>
      </c>
      <c r="U26" s="6">
        <v>7.5</v>
      </c>
      <c r="V26" s="6">
        <v>109.2938</v>
      </c>
      <c r="W26" s="6">
        <v>0.624</v>
      </c>
      <c r="X26" s="6">
        <v>1091.2080000000001</v>
      </c>
      <c r="Y26" s="6">
        <v>1381.529</v>
      </c>
      <c r="Z26" s="6">
        <v>1</v>
      </c>
      <c r="AA26" s="6">
        <v>3077.7689999999998</v>
      </c>
      <c r="AB26" s="6">
        <v>1990.1790000000001</v>
      </c>
      <c r="AC26" s="6">
        <v>2084.759</v>
      </c>
      <c r="AD26" s="6">
        <v>1043.692</v>
      </c>
      <c r="AE26" s="6">
        <v>6016.9080000000004</v>
      </c>
      <c r="AF26" s="6">
        <v>7.0604849999999999</v>
      </c>
      <c r="AG26" s="6">
        <v>73.294110000000003</v>
      </c>
      <c r="AH26" s="6">
        <v>17.183250000000001</v>
      </c>
      <c r="AI26" s="6">
        <v>0</v>
      </c>
      <c r="AJ26" s="6">
        <v>0</v>
      </c>
      <c r="AK26" s="6">
        <v>0</v>
      </c>
      <c r="AL26" s="6">
        <v>0</v>
      </c>
      <c r="AM26" s="5" t="s">
        <v>80</v>
      </c>
      <c r="AN26" s="5" t="s">
        <v>81</v>
      </c>
      <c r="AO26" s="5"/>
      <c r="AP26" s="6">
        <v>0.153201</v>
      </c>
      <c r="AQ26" s="6">
        <v>8.3223000000000005E-2</v>
      </c>
      <c r="AR26" s="6">
        <v>7.2999999999999995E-2</v>
      </c>
      <c r="AS26" s="6">
        <v>3.6817000000000003E-2</v>
      </c>
      <c r="AT26" s="5"/>
      <c r="AU26" s="5"/>
      <c r="AV26" s="6">
        <v>2.784E-2</v>
      </c>
      <c r="AW26" s="6">
        <v>5.5383000000000002E-2</v>
      </c>
      <c r="AX26" s="6">
        <v>5.3883E-2</v>
      </c>
      <c r="AY26" s="6">
        <v>0.12131</v>
      </c>
      <c r="AZ26" s="6">
        <v>2.8441000000000001E-2</v>
      </c>
      <c r="BA26" s="5"/>
      <c r="BB26" s="5"/>
      <c r="BC26" s="5"/>
      <c r="BD26" s="6">
        <v>7.0099999999999996E-2</v>
      </c>
      <c r="BE26" s="6">
        <v>3.1891000000000003E-2</v>
      </c>
      <c r="BF26" s="6">
        <v>9.4553999999999999E-2</v>
      </c>
      <c r="BG26" s="6">
        <v>0.10620300000000001</v>
      </c>
      <c r="BH26" s="6">
        <v>5.4907999999999998E-2</v>
      </c>
    </row>
    <row r="27" spans="1:60" ht="15.75" customHeight="1" x14ac:dyDescent="0.2">
      <c r="A27" s="8">
        <v>1993</v>
      </c>
      <c r="B27" s="5">
        <v>107.31</v>
      </c>
      <c r="C27" s="3">
        <f>'Median Price of new US Homes'!D27</f>
        <v>126500</v>
      </c>
      <c r="D27" s="5" t="s">
        <v>79</v>
      </c>
      <c r="E27" s="6">
        <v>260255.4</v>
      </c>
      <c r="F27" s="6">
        <v>107.1758</v>
      </c>
      <c r="G27" s="6">
        <v>23640.11</v>
      </c>
      <c r="H27" s="6">
        <v>77.423659999999998</v>
      </c>
      <c r="I27" s="6">
        <v>72.655199999999994</v>
      </c>
      <c r="J27" s="6">
        <v>6858.5590000000002</v>
      </c>
      <c r="K27" s="6">
        <v>0.200318</v>
      </c>
      <c r="L27" s="6">
        <v>108.8934</v>
      </c>
      <c r="M27" s="6">
        <v>-84.782799999999995</v>
      </c>
      <c r="N27" s="6">
        <v>719.97500000000002</v>
      </c>
      <c r="O27" s="6">
        <v>654.79999999999995</v>
      </c>
      <c r="P27" s="6">
        <v>405.32</v>
      </c>
      <c r="Q27" s="6">
        <v>3437.95</v>
      </c>
      <c r="R27" s="6">
        <v>3.02</v>
      </c>
      <c r="S27" s="6">
        <v>5.8733300000000002</v>
      </c>
      <c r="T27" s="6">
        <v>107.1758</v>
      </c>
      <c r="U27" s="6">
        <v>6.9</v>
      </c>
      <c r="V27" s="6">
        <v>111.3728</v>
      </c>
      <c r="W27" s="6">
        <v>0.64200000000000002</v>
      </c>
      <c r="X27" s="6">
        <v>1154.3340000000001</v>
      </c>
      <c r="Y27" s="6">
        <v>1409.386</v>
      </c>
      <c r="Z27" s="6">
        <v>1</v>
      </c>
      <c r="AA27" s="6">
        <v>3195.8040000000001</v>
      </c>
      <c r="AB27" s="6">
        <v>2057.3780000000002</v>
      </c>
      <c r="AC27" s="6">
        <v>2202.7069999999999</v>
      </c>
      <c r="AD27" s="6">
        <v>1045.9949999999999</v>
      </c>
      <c r="AE27" s="6">
        <v>6258.857</v>
      </c>
      <c r="AF27" s="6">
        <v>7.5112399999999999</v>
      </c>
      <c r="AG27" s="6">
        <v>76.165629999999993</v>
      </c>
      <c r="AH27" s="6">
        <v>19.666989999999998</v>
      </c>
      <c r="AI27" s="6">
        <v>0</v>
      </c>
      <c r="AJ27" s="6">
        <v>0</v>
      </c>
      <c r="AK27" s="6">
        <v>0</v>
      </c>
      <c r="AL27" s="6">
        <v>0</v>
      </c>
      <c r="AM27" s="5" t="s">
        <v>80</v>
      </c>
      <c r="AN27" s="5" t="s">
        <v>81</v>
      </c>
      <c r="AO27" s="5"/>
      <c r="AP27" s="6">
        <v>9.8452999999999999E-2</v>
      </c>
      <c r="AQ27" s="6">
        <v>7.8403E-2</v>
      </c>
      <c r="AR27" s="6">
        <v>0.154395</v>
      </c>
      <c r="AS27" s="6">
        <v>3.1741999999999999E-2</v>
      </c>
      <c r="AT27" s="5"/>
      <c r="AU27" s="5"/>
      <c r="AV27" s="6">
        <v>2.3258000000000001E-2</v>
      </c>
      <c r="AW27" s="6">
        <v>5.5146000000000001E-2</v>
      </c>
      <c r="AX27" s="6">
        <v>5.3892000000000002E-2</v>
      </c>
      <c r="AY27" s="6">
        <v>6.9575999999999999E-2</v>
      </c>
      <c r="AZ27" s="6">
        <v>2.6998999999999999E-2</v>
      </c>
      <c r="BA27" s="5"/>
      <c r="BB27" s="5"/>
      <c r="BC27" s="5"/>
      <c r="BD27" s="6">
        <v>5.8733E-2</v>
      </c>
      <c r="BE27" s="6">
        <v>2.8877E-2</v>
      </c>
      <c r="BF27" s="6">
        <v>8.7217000000000003E-2</v>
      </c>
      <c r="BG27" s="6">
        <v>8.5484000000000004E-2</v>
      </c>
      <c r="BH27" s="6">
        <v>9.3068999999999999E-2</v>
      </c>
    </row>
    <row r="28" spans="1:60" ht="15.75" customHeight="1" x14ac:dyDescent="0.2">
      <c r="A28" s="8">
        <v>1994</v>
      </c>
      <c r="B28" s="5">
        <v>121.42</v>
      </c>
      <c r="C28" s="3">
        <f>'Median Price of new US Homes'!D28</f>
        <v>130425</v>
      </c>
      <c r="D28" s="5" t="s">
        <v>79</v>
      </c>
      <c r="E28" s="6">
        <v>263435.7</v>
      </c>
      <c r="F28" s="6">
        <v>109.919</v>
      </c>
      <c r="G28" s="6">
        <v>24312.79</v>
      </c>
      <c r="H28" s="6">
        <v>79.581209999999999</v>
      </c>
      <c r="I28" s="6">
        <v>74.477900000000005</v>
      </c>
      <c r="J28" s="6">
        <v>7287.2359999999999</v>
      </c>
      <c r="K28" s="6">
        <v>0.20343800000000001</v>
      </c>
      <c r="L28" s="6">
        <v>111.1673</v>
      </c>
      <c r="M28" s="6">
        <v>-121.642</v>
      </c>
      <c r="N28" s="6">
        <v>813.45</v>
      </c>
      <c r="O28" s="6">
        <v>720.92499999999995</v>
      </c>
      <c r="P28" s="6">
        <v>434.78800000000001</v>
      </c>
      <c r="Q28" s="6">
        <v>3482.1419999999998</v>
      </c>
      <c r="R28" s="6">
        <v>4.21</v>
      </c>
      <c r="S28" s="6">
        <v>7.08</v>
      </c>
      <c r="T28" s="6">
        <v>109.919</v>
      </c>
      <c r="U28" s="6">
        <v>6.1186999999999996</v>
      </c>
      <c r="V28" s="6">
        <v>113.2595</v>
      </c>
      <c r="W28" s="6">
        <v>0.64700000000000002</v>
      </c>
      <c r="X28" s="6">
        <v>1258.566</v>
      </c>
      <c r="Y28" s="6">
        <v>1461.752</v>
      </c>
      <c r="Z28" s="6">
        <v>1</v>
      </c>
      <c r="AA28" s="6">
        <v>3400.1970000000001</v>
      </c>
      <c r="AB28" s="6">
        <v>2137.4360000000001</v>
      </c>
      <c r="AC28" s="6">
        <v>2361.127</v>
      </c>
      <c r="AD28" s="6">
        <v>1091.144</v>
      </c>
      <c r="AE28" s="6">
        <v>6485.1689999999999</v>
      </c>
      <c r="AF28" s="6">
        <v>7.5316219999999996</v>
      </c>
      <c r="AG28" s="6">
        <v>80.279859999999999</v>
      </c>
      <c r="AH28" s="6">
        <v>22.520389999999999</v>
      </c>
      <c r="AI28" s="6">
        <v>0</v>
      </c>
      <c r="AJ28" s="6">
        <v>0</v>
      </c>
      <c r="AK28" s="6">
        <v>0</v>
      </c>
      <c r="AL28" s="6">
        <v>0</v>
      </c>
      <c r="AM28" s="5" t="s">
        <v>80</v>
      </c>
      <c r="AN28" s="5" t="s">
        <v>81</v>
      </c>
      <c r="AO28" s="5"/>
      <c r="AP28" s="6">
        <v>5.1720000000000004E-3</v>
      </c>
      <c r="AQ28" s="6">
        <v>8.0856999999999998E-2</v>
      </c>
      <c r="AR28" s="6">
        <v>-7.578E-2</v>
      </c>
      <c r="AS28" s="6">
        <v>4.6292E-2</v>
      </c>
      <c r="AT28" s="5"/>
      <c r="AU28" s="5"/>
      <c r="AV28" s="6">
        <v>2.5593000000000001E-2</v>
      </c>
      <c r="AW28" s="6">
        <v>5.5264000000000001E-2</v>
      </c>
      <c r="AX28" s="6">
        <v>5.3885000000000002E-2</v>
      </c>
      <c r="AY28" s="6">
        <v>-2.3089999999999999E-2</v>
      </c>
      <c r="AZ28" s="6">
        <v>2.8933E-2</v>
      </c>
      <c r="BA28" s="5"/>
      <c r="BB28" s="5"/>
      <c r="BC28" s="5"/>
      <c r="BD28" s="6">
        <v>7.0800000000000002E-2</v>
      </c>
      <c r="BE28" s="6">
        <v>2.8264999999999998E-2</v>
      </c>
      <c r="BF28" s="6">
        <v>3.8538000000000003E-2</v>
      </c>
      <c r="BG28" s="6">
        <v>5.5146000000000001E-2</v>
      </c>
      <c r="BH28" s="6">
        <v>-1.4749999999999999E-2</v>
      </c>
    </row>
    <row r="29" spans="1:60" ht="15.75" customHeight="1" x14ac:dyDescent="0.2">
      <c r="A29" s="8">
        <v>1995</v>
      </c>
      <c r="B29" s="5">
        <v>112.85</v>
      </c>
      <c r="C29" s="3">
        <f>'Median Price of new US Homes'!D29</f>
        <v>133475</v>
      </c>
      <c r="D29" s="5" t="s">
        <v>79</v>
      </c>
      <c r="E29" s="6">
        <v>266557.09999999998</v>
      </c>
      <c r="F29" s="6">
        <v>113.2688</v>
      </c>
      <c r="G29" s="6">
        <v>24637.33</v>
      </c>
      <c r="H29" s="6">
        <v>80.620019999999997</v>
      </c>
      <c r="I29" s="6">
        <v>75.596000000000004</v>
      </c>
      <c r="J29" s="6">
        <v>7639.7489999999998</v>
      </c>
      <c r="K29" s="6">
        <v>0.207984</v>
      </c>
      <c r="L29" s="6">
        <v>113.8454</v>
      </c>
      <c r="M29" s="6">
        <v>-113.56100000000001</v>
      </c>
      <c r="N29" s="6">
        <v>902.55</v>
      </c>
      <c r="O29" s="6">
        <v>812.82500000000005</v>
      </c>
      <c r="P29" s="6">
        <v>455.10899999999998</v>
      </c>
      <c r="Q29" s="6">
        <v>3552.7829999999999</v>
      </c>
      <c r="R29" s="6">
        <v>5.83</v>
      </c>
      <c r="S29" s="6">
        <v>6.58</v>
      </c>
      <c r="T29" s="6">
        <v>113.2688</v>
      </c>
      <c r="U29" s="6">
        <v>5.6504000000000003</v>
      </c>
      <c r="V29" s="6">
        <v>116.31740000000001</v>
      </c>
      <c r="W29" s="6">
        <v>0.65100000000000002</v>
      </c>
      <c r="X29" s="6">
        <v>1351.79</v>
      </c>
      <c r="Y29" s="6">
        <v>1515.742</v>
      </c>
      <c r="Z29" s="6">
        <v>1</v>
      </c>
      <c r="AA29" s="6">
        <v>3619.2890000000002</v>
      </c>
      <c r="AB29" s="6">
        <v>2223.9560000000001</v>
      </c>
      <c r="AC29" s="6">
        <v>2483.6370000000002</v>
      </c>
      <c r="AD29" s="6">
        <v>1185.5719999999999</v>
      </c>
      <c r="AE29" s="6">
        <v>6888.5940000000001</v>
      </c>
      <c r="AF29" s="6">
        <v>7.5266500000000001</v>
      </c>
      <c r="AG29" s="6">
        <v>84.30865</v>
      </c>
      <c r="AH29" s="6">
        <v>24.128270000000001</v>
      </c>
      <c r="AI29" s="6">
        <v>0</v>
      </c>
      <c r="AJ29" s="6">
        <v>0</v>
      </c>
      <c r="AK29" s="6">
        <v>0</v>
      </c>
      <c r="AL29" s="6">
        <v>0</v>
      </c>
      <c r="AM29" s="5" t="s">
        <v>80</v>
      </c>
      <c r="AN29" s="5" t="s">
        <v>81</v>
      </c>
      <c r="AO29" s="5"/>
      <c r="AP29" s="6">
        <v>0.38043500000000002</v>
      </c>
      <c r="AQ29" s="6">
        <v>8.5698999999999997E-2</v>
      </c>
      <c r="AR29" s="6">
        <v>0.29149999999999998</v>
      </c>
      <c r="AS29" s="6">
        <v>5.9166999999999997E-2</v>
      </c>
      <c r="AT29" s="5"/>
      <c r="AU29" s="5"/>
      <c r="AV29" s="6">
        <v>3.0477000000000001E-2</v>
      </c>
      <c r="AW29" s="6">
        <v>5.5222E-2</v>
      </c>
      <c r="AX29" s="6">
        <v>5.3588999999999998E-2</v>
      </c>
      <c r="AY29" s="6">
        <v>0.35013899999999998</v>
      </c>
      <c r="AZ29" s="6">
        <v>2.2438E-2</v>
      </c>
      <c r="BA29" s="5"/>
      <c r="BB29" s="5"/>
      <c r="BC29" s="5"/>
      <c r="BD29" s="6">
        <v>6.5799999999999997E-2</v>
      </c>
      <c r="BE29" s="6">
        <v>3.0294999999999999E-2</v>
      </c>
      <c r="BF29" s="6">
        <v>0.19766500000000001</v>
      </c>
      <c r="BG29" s="6">
        <v>0.20408299999999999</v>
      </c>
      <c r="BH29" s="6">
        <v>0.17533299999999999</v>
      </c>
    </row>
    <row r="30" spans="1:60" ht="15.75" customHeight="1" x14ac:dyDescent="0.2">
      <c r="A30" s="8">
        <v>1996</v>
      </c>
      <c r="B30" s="5">
        <v>123.08</v>
      </c>
      <c r="C30" s="3">
        <f>'Median Price of new US Homes'!D30</f>
        <v>140250</v>
      </c>
      <c r="D30" s="5" t="s">
        <v>79</v>
      </c>
      <c r="E30" s="6">
        <v>269667.40000000002</v>
      </c>
      <c r="F30" s="6">
        <v>117.20399999999999</v>
      </c>
      <c r="G30" s="6">
        <v>25263.1</v>
      </c>
      <c r="H30" s="6">
        <v>82.660420000000002</v>
      </c>
      <c r="I30" s="6">
        <v>77.298400000000001</v>
      </c>
      <c r="J30" s="6">
        <v>8073.1220000000003</v>
      </c>
      <c r="K30" s="6">
        <v>0.21249399999999999</v>
      </c>
      <c r="L30" s="6">
        <v>116.8772</v>
      </c>
      <c r="M30" s="6">
        <v>-124.727</v>
      </c>
      <c r="N30" s="6">
        <v>963.97500000000002</v>
      </c>
      <c r="O30" s="6">
        <v>867.57500000000005</v>
      </c>
      <c r="P30" s="6">
        <v>479.04199999999997</v>
      </c>
      <c r="Q30" s="6">
        <v>3728.3420000000001</v>
      </c>
      <c r="R30" s="6">
        <v>5.3</v>
      </c>
      <c r="S30" s="6">
        <v>6.4383299999999997</v>
      </c>
      <c r="T30" s="6">
        <v>117.20399999999999</v>
      </c>
      <c r="U30" s="6">
        <v>5.4511000000000003</v>
      </c>
      <c r="V30" s="6">
        <v>120.52719999999999</v>
      </c>
      <c r="W30" s="6">
        <v>0.65200000000000002</v>
      </c>
      <c r="X30" s="6">
        <v>1453.0530000000001</v>
      </c>
      <c r="Y30" s="6">
        <v>1560.4839999999999</v>
      </c>
      <c r="Z30" s="6">
        <v>1</v>
      </c>
      <c r="AA30" s="6">
        <v>3820.78</v>
      </c>
      <c r="AB30" s="6">
        <v>2335.7820000000002</v>
      </c>
      <c r="AC30" s="6">
        <v>2610.5680000000002</v>
      </c>
      <c r="AD30" s="6">
        <v>1250.877</v>
      </c>
      <c r="AE30" s="6">
        <v>7339.5469999999996</v>
      </c>
      <c r="AF30" s="6">
        <v>7.4791489999999996</v>
      </c>
      <c r="AG30" s="6">
        <v>86.372349999999997</v>
      </c>
      <c r="AH30" s="6">
        <v>24.58615</v>
      </c>
      <c r="AI30" s="6">
        <v>0</v>
      </c>
      <c r="AJ30" s="6">
        <v>0</v>
      </c>
      <c r="AK30" s="6">
        <v>0</v>
      </c>
      <c r="AL30" s="6">
        <v>0</v>
      </c>
      <c r="AM30" s="5" t="s">
        <v>80</v>
      </c>
      <c r="AN30" s="5" t="s">
        <v>81</v>
      </c>
      <c r="AO30" s="5"/>
      <c r="AP30" s="6">
        <v>0.233627</v>
      </c>
      <c r="AQ30" s="6">
        <v>8.9820999999999998E-2</v>
      </c>
      <c r="AR30" s="6">
        <v>-1.316E-2</v>
      </c>
      <c r="AS30" s="6">
        <v>5.3900000000000003E-2</v>
      </c>
      <c r="AT30" s="5"/>
      <c r="AU30" s="5"/>
      <c r="AV30" s="6">
        <v>3.474E-2</v>
      </c>
      <c r="AW30" s="6">
        <v>5.5080999999999998E-2</v>
      </c>
      <c r="AX30" s="6">
        <v>5.3231000000000001E-2</v>
      </c>
      <c r="AY30" s="6">
        <v>0.20938200000000001</v>
      </c>
      <c r="AZ30" s="6">
        <v>2.0046999999999999E-2</v>
      </c>
      <c r="BA30" s="5"/>
      <c r="BB30" s="5"/>
      <c r="BC30" s="5"/>
      <c r="BD30" s="6">
        <v>6.4382999999999996E-2</v>
      </c>
      <c r="BE30" s="6">
        <v>2.4244999999999999E-2</v>
      </c>
      <c r="BF30" s="6">
        <v>0.124625</v>
      </c>
      <c r="BG30" s="6">
        <v>0.153033</v>
      </c>
      <c r="BH30" s="6">
        <v>2.0368000000000001E-2</v>
      </c>
    </row>
    <row r="31" spans="1:60" ht="15.75" customHeight="1" x14ac:dyDescent="0.2">
      <c r="A31" s="8">
        <v>1997</v>
      </c>
      <c r="B31" s="5">
        <v>122.83</v>
      </c>
      <c r="C31" s="3">
        <f>'Median Price of new US Homes'!D31</f>
        <v>145000</v>
      </c>
      <c r="D31" s="5" t="s">
        <v>79</v>
      </c>
      <c r="E31" s="6">
        <v>272911.8</v>
      </c>
      <c r="F31" s="6">
        <v>121.1558</v>
      </c>
      <c r="G31" s="6">
        <v>26074.240000000002</v>
      </c>
      <c r="H31" s="6">
        <v>85.380080000000007</v>
      </c>
      <c r="I31" s="6">
        <v>79.286100000000005</v>
      </c>
      <c r="J31" s="6">
        <v>8577.5519999999997</v>
      </c>
      <c r="K31" s="6">
        <v>0.21539800000000001</v>
      </c>
      <c r="L31" s="6">
        <v>119.4037</v>
      </c>
      <c r="M31" s="6">
        <v>-140.72499999999999</v>
      </c>
      <c r="N31" s="6">
        <v>1055.7750000000001</v>
      </c>
      <c r="O31" s="6">
        <v>953.82500000000005</v>
      </c>
      <c r="P31" s="6">
        <v>509.57299999999998</v>
      </c>
      <c r="Q31" s="6">
        <v>3925.308</v>
      </c>
      <c r="R31" s="6">
        <v>5.46</v>
      </c>
      <c r="S31" s="6">
        <v>6.3525</v>
      </c>
      <c r="T31" s="6">
        <v>121.1558</v>
      </c>
      <c r="U31" s="6">
        <v>5.0003000000000002</v>
      </c>
      <c r="V31" s="6">
        <v>125.6705</v>
      </c>
      <c r="W31" s="6">
        <v>0.63500000000000001</v>
      </c>
      <c r="X31" s="6">
        <v>1579.232</v>
      </c>
      <c r="Y31" s="6">
        <v>1601.116</v>
      </c>
      <c r="Z31" s="6">
        <v>1</v>
      </c>
      <c r="AA31" s="6">
        <v>4088.5149999999999</v>
      </c>
      <c r="AB31" s="6">
        <v>2493.5390000000002</v>
      </c>
      <c r="AC31" s="6">
        <v>2736.3</v>
      </c>
      <c r="AD31" s="6">
        <v>1387.999</v>
      </c>
      <c r="AE31" s="6">
        <v>7733.8459999999995</v>
      </c>
      <c r="AF31" s="6">
        <v>7.4113179999999996</v>
      </c>
      <c r="AG31" s="6">
        <v>85.325710000000001</v>
      </c>
      <c r="AH31" s="6">
        <v>26.361879999999999</v>
      </c>
      <c r="AI31" s="6">
        <v>0</v>
      </c>
      <c r="AJ31" s="6">
        <v>0</v>
      </c>
      <c r="AK31" s="6">
        <v>0</v>
      </c>
      <c r="AL31" s="6">
        <v>0</v>
      </c>
      <c r="AM31" s="5" t="s">
        <v>80</v>
      </c>
      <c r="AN31" s="5" t="s">
        <v>81</v>
      </c>
      <c r="AO31" s="5"/>
      <c r="AP31" s="6">
        <v>0.315668</v>
      </c>
      <c r="AQ31" s="6">
        <v>8.8611999999999996E-2</v>
      </c>
      <c r="AR31" s="6">
        <v>0.14377799999999999</v>
      </c>
      <c r="AS31" s="6">
        <v>5.6158E-2</v>
      </c>
      <c r="AT31" s="5"/>
      <c r="AU31" s="5"/>
      <c r="AV31" s="6">
        <v>3.3718999999999999E-2</v>
      </c>
      <c r="AW31" s="6">
        <v>5.4892999999999997E-2</v>
      </c>
      <c r="AX31" s="6">
        <v>5.3102000000000003E-2</v>
      </c>
      <c r="AY31" s="6">
        <v>0.29481299999999999</v>
      </c>
      <c r="AZ31" s="6">
        <v>1.6105999999999999E-2</v>
      </c>
      <c r="BA31" s="5"/>
      <c r="BB31" s="5"/>
      <c r="BC31" s="5"/>
      <c r="BD31" s="6">
        <v>6.3524999999999998E-2</v>
      </c>
      <c r="BE31" s="6">
        <v>2.0854000000000001E-2</v>
      </c>
      <c r="BF31" s="6">
        <v>0.17931900000000001</v>
      </c>
      <c r="BG31" s="6">
        <v>0.19880300000000001</v>
      </c>
      <c r="BH31" s="6">
        <v>9.9968000000000001E-2</v>
      </c>
    </row>
    <row r="32" spans="1:60" ht="15.75" customHeight="1" x14ac:dyDescent="0.2">
      <c r="A32" s="8">
        <v>1998</v>
      </c>
      <c r="B32" s="5">
        <v>134.75</v>
      </c>
      <c r="C32" s="3">
        <f>'Median Price of new US Homes'!D32</f>
        <v>151925</v>
      </c>
      <c r="D32" s="5" t="s">
        <v>79</v>
      </c>
      <c r="E32" s="6">
        <v>276115.3</v>
      </c>
      <c r="F32" s="6">
        <v>127.3717</v>
      </c>
      <c r="G32" s="6">
        <v>26893.45</v>
      </c>
      <c r="H32" s="6">
        <v>87.94</v>
      </c>
      <c r="I32" s="6">
        <v>82.351100000000002</v>
      </c>
      <c r="J32" s="6">
        <v>9062.8169999999991</v>
      </c>
      <c r="K32" s="6">
        <v>0.221468</v>
      </c>
      <c r="L32" s="6">
        <v>121.02070000000001</v>
      </c>
      <c r="M32" s="6">
        <v>-215.03700000000001</v>
      </c>
      <c r="N32" s="6">
        <v>1115.675</v>
      </c>
      <c r="O32" s="6">
        <v>952.97500000000002</v>
      </c>
      <c r="P32" s="6">
        <v>541.64300000000003</v>
      </c>
      <c r="Q32" s="6">
        <v>4206.0249999999996</v>
      </c>
      <c r="R32" s="6">
        <v>5.35</v>
      </c>
      <c r="S32" s="6">
        <v>5.26417</v>
      </c>
      <c r="T32" s="6">
        <v>127.3717</v>
      </c>
      <c r="U32" s="6">
        <v>4.5105000000000004</v>
      </c>
      <c r="V32" s="6">
        <v>131.8845</v>
      </c>
      <c r="W32" s="6">
        <v>0.61299999999999999</v>
      </c>
      <c r="X32" s="6">
        <v>1721.7280000000001</v>
      </c>
      <c r="Y32" s="6">
        <v>1652.4580000000001</v>
      </c>
      <c r="Z32" s="6">
        <v>1</v>
      </c>
      <c r="AA32" s="6">
        <v>4435.3100000000004</v>
      </c>
      <c r="AB32" s="6">
        <v>2694.47</v>
      </c>
      <c r="AC32" s="6">
        <v>2897.2739999999999</v>
      </c>
      <c r="AD32" s="6">
        <v>1590.252</v>
      </c>
      <c r="AE32" s="6">
        <v>8808.8510000000006</v>
      </c>
      <c r="AF32" s="6">
        <v>7.4073140000000004</v>
      </c>
      <c r="AG32" s="6">
        <v>86.363730000000004</v>
      </c>
      <c r="AH32" s="6">
        <v>26.948609999999999</v>
      </c>
      <c r="AI32" s="6">
        <v>0</v>
      </c>
      <c r="AJ32" s="6">
        <v>0</v>
      </c>
      <c r="AK32" s="6">
        <v>0</v>
      </c>
      <c r="AL32" s="6">
        <v>0</v>
      </c>
      <c r="AM32" s="5" t="s">
        <v>80</v>
      </c>
      <c r="AN32" s="5" t="s">
        <v>81</v>
      </c>
      <c r="AO32" s="5"/>
      <c r="AP32" s="6">
        <v>0.25341599999999997</v>
      </c>
      <c r="AQ32" s="6">
        <v>0.106228</v>
      </c>
      <c r="AR32" s="6">
        <v>0.12085600000000001</v>
      </c>
      <c r="AS32" s="6">
        <v>5.4667E-2</v>
      </c>
      <c r="AT32" s="5"/>
      <c r="AU32" s="5"/>
      <c r="AV32" s="6">
        <v>5.1305999999999997E-2</v>
      </c>
      <c r="AW32" s="6">
        <v>5.4921999999999999E-2</v>
      </c>
      <c r="AX32" s="6">
        <v>5.2241999999999997E-2</v>
      </c>
      <c r="AY32" s="6">
        <v>0.23658299999999999</v>
      </c>
      <c r="AZ32" s="6">
        <v>1.3613E-2</v>
      </c>
      <c r="BA32" s="5"/>
      <c r="BB32" s="5"/>
      <c r="BC32" s="5"/>
      <c r="BD32" s="6">
        <v>5.2642000000000001E-2</v>
      </c>
      <c r="BE32" s="6">
        <v>1.6833000000000001E-2</v>
      </c>
      <c r="BF32" s="6">
        <v>0.16444900000000001</v>
      </c>
      <c r="BG32" s="6">
        <v>0.181282</v>
      </c>
      <c r="BH32" s="6">
        <v>8.7761000000000006E-2</v>
      </c>
    </row>
    <row r="33" spans="1:60" ht="15.75" customHeight="1" x14ac:dyDescent="0.2">
      <c r="A33" s="8">
        <v>1999</v>
      </c>
      <c r="B33" s="5">
        <v>136.77000000000001</v>
      </c>
      <c r="C33" s="3">
        <f>'Median Price of new US Homes'!D33</f>
        <v>160125</v>
      </c>
      <c r="D33" s="5" t="s">
        <v>79</v>
      </c>
      <c r="E33" s="6">
        <v>279294.7</v>
      </c>
      <c r="F33" s="6">
        <v>133.63910000000001</v>
      </c>
      <c r="G33" s="6">
        <v>27869.81</v>
      </c>
      <c r="H33" s="6">
        <v>90.837710000000001</v>
      </c>
      <c r="I33" s="6">
        <v>85.604699999999994</v>
      </c>
      <c r="J33" s="6">
        <v>9631.2000000000007</v>
      </c>
      <c r="K33" s="6">
        <v>0.22676399999999999</v>
      </c>
      <c r="L33" s="6">
        <v>123.59780000000001</v>
      </c>
      <c r="M33" s="6">
        <v>-286.62200000000001</v>
      </c>
      <c r="N33" s="6">
        <v>1252.46</v>
      </c>
      <c r="O33" s="6">
        <v>992</v>
      </c>
      <c r="P33" s="6">
        <v>628.12099999999998</v>
      </c>
      <c r="Q33" s="6">
        <v>4517.1329999999998</v>
      </c>
      <c r="R33" s="6">
        <v>4.97</v>
      </c>
      <c r="S33" s="6">
        <v>5.6366699999999996</v>
      </c>
      <c r="T33" s="6">
        <v>133.63910000000001</v>
      </c>
      <c r="U33" s="6">
        <v>4.2187999999999999</v>
      </c>
      <c r="V33" s="6">
        <v>137.3562</v>
      </c>
      <c r="W33" s="6">
        <v>0.59099999999999997</v>
      </c>
      <c r="X33" s="6">
        <v>1827.452</v>
      </c>
      <c r="Y33" s="6">
        <v>1701.8420000000001</v>
      </c>
      <c r="Z33" s="6">
        <v>1</v>
      </c>
      <c r="AA33" s="6">
        <v>4768.2950000000001</v>
      </c>
      <c r="AB33" s="6">
        <v>2893.7719999999999</v>
      </c>
      <c r="AC33" s="6">
        <v>3041.7910000000002</v>
      </c>
      <c r="AD33" s="6">
        <v>1790.7940000000001</v>
      </c>
      <c r="AE33" s="6">
        <v>9976.1280000000006</v>
      </c>
      <c r="AF33" s="6">
        <v>7.5388760000000001</v>
      </c>
      <c r="AG33" s="6">
        <v>89.540430000000001</v>
      </c>
      <c r="AH33" s="6">
        <v>27.753640000000001</v>
      </c>
      <c r="AI33" s="6">
        <v>0</v>
      </c>
      <c r="AJ33" s="6">
        <v>0</v>
      </c>
      <c r="AK33" s="6">
        <v>0</v>
      </c>
      <c r="AL33" s="6">
        <v>0</v>
      </c>
      <c r="AM33" s="5" t="s">
        <v>80</v>
      </c>
      <c r="AN33" s="5" t="s">
        <v>81</v>
      </c>
      <c r="AO33" s="5"/>
      <c r="AP33" s="6">
        <v>0.21454599999999999</v>
      </c>
      <c r="AQ33" s="6">
        <v>0.103031</v>
      </c>
      <c r="AR33" s="6">
        <v>-9.2630000000000004E-2</v>
      </c>
      <c r="AS33" s="6">
        <v>5.33E-2</v>
      </c>
      <c r="AT33" s="5"/>
      <c r="AU33" s="5"/>
      <c r="AV33" s="6">
        <v>4.9202000000000003E-2</v>
      </c>
      <c r="AW33" s="6">
        <v>5.3828000000000001E-2</v>
      </c>
      <c r="AX33" s="6">
        <v>5.1304000000000002E-2</v>
      </c>
      <c r="AY33" s="6">
        <v>0.200521</v>
      </c>
      <c r="AZ33" s="6">
        <v>1.1682E-2</v>
      </c>
      <c r="BA33" s="5"/>
      <c r="BB33" s="5"/>
      <c r="BC33" s="5"/>
      <c r="BD33" s="6">
        <v>5.6367E-2</v>
      </c>
      <c r="BE33" s="6">
        <v>1.4024999999999999E-2</v>
      </c>
      <c r="BF33" s="6">
        <v>0.13089600000000001</v>
      </c>
      <c r="BG33" s="6">
        <v>0.16106799999999999</v>
      </c>
      <c r="BH33" s="6">
        <v>-1.967E-2</v>
      </c>
    </row>
    <row r="34" spans="1:60" ht="15.75" customHeight="1" x14ac:dyDescent="0.2">
      <c r="A34" s="8">
        <v>2000</v>
      </c>
      <c r="B34" s="5">
        <v>130.72</v>
      </c>
      <c r="C34" s="3">
        <f>'Median Price of new US Homes'!D34</f>
        <v>167550</v>
      </c>
      <c r="D34" s="5" t="s">
        <v>79</v>
      </c>
      <c r="E34" s="6">
        <v>282158</v>
      </c>
      <c r="F34" s="6">
        <v>142.18430000000001</v>
      </c>
      <c r="G34" s="6">
        <v>28701.93</v>
      </c>
      <c r="H34" s="6">
        <v>93.158249999999995</v>
      </c>
      <c r="I34" s="6">
        <v>88.657300000000006</v>
      </c>
      <c r="J34" s="6">
        <v>10251</v>
      </c>
      <c r="K34" s="6">
        <v>0.23027400000000001</v>
      </c>
      <c r="L34" s="6">
        <v>127.79179999999999</v>
      </c>
      <c r="M34" s="6">
        <v>-401.928</v>
      </c>
      <c r="N34" s="6">
        <v>1477.184</v>
      </c>
      <c r="O34" s="6">
        <v>1096.825</v>
      </c>
      <c r="P34" s="6">
        <v>612.76599999999996</v>
      </c>
      <c r="Q34" s="6">
        <v>4790.4669999999996</v>
      </c>
      <c r="R34" s="6">
        <v>6.24</v>
      </c>
      <c r="S34" s="6">
        <v>6.0291699999999997</v>
      </c>
      <c r="T34" s="6">
        <v>142.18430000000001</v>
      </c>
      <c r="U34" s="6">
        <v>3.992</v>
      </c>
      <c r="V34" s="6">
        <v>145.54669999999999</v>
      </c>
      <c r="W34" s="6">
        <v>0.55600000000000005</v>
      </c>
      <c r="X34" s="6">
        <v>2025.191</v>
      </c>
      <c r="Y34" s="6">
        <v>1788.95</v>
      </c>
      <c r="Z34" s="6">
        <v>1</v>
      </c>
      <c r="AA34" s="6">
        <v>5162.8</v>
      </c>
      <c r="AB34" s="6">
        <v>3128.31</v>
      </c>
      <c r="AC34" s="6">
        <v>3265.2719999999999</v>
      </c>
      <c r="AD34" s="6">
        <v>1969.175</v>
      </c>
      <c r="AE34" s="6">
        <v>11245.22</v>
      </c>
      <c r="AF34" s="6">
        <v>7.4563100000000002</v>
      </c>
      <c r="AG34" s="6">
        <v>89.755160000000004</v>
      </c>
      <c r="AH34" s="6">
        <v>27.687539999999998</v>
      </c>
      <c r="AI34" s="6">
        <v>0</v>
      </c>
      <c r="AJ34" s="6">
        <v>0</v>
      </c>
      <c r="AK34" s="6">
        <v>0</v>
      </c>
      <c r="AL34" s="6">
        <v>0</v>
      </c>
      <c r="AM34" s="5" t="s">
        <v>80</v>
      </c>
      <c r="AN34" s="5" t="s">
        <v>81</v>
      </c>
      <c r="AO34" s="5"/>
      <c r="AP34" s="6">
        <v>-5.7029999999999997E-2</v>
      </c>
      <c r="AQ34" s="6">
        <v>0.117252</v>
      </c>
      <c r="AR34" s="6">
        <v>0.20336399999999999</v>
      </c>
      <c r="AS34" s="6">
        <v>6.4558000000000004E-2</v>
      </c>
      <c r="AT34" s="5"/>
      <c r="AU34" s="5"/>
      <c r="AV34" s="6">
        <v>6.3940999999999998E-2</v>
      </c>
      <c r="AW34" s="6">
        <v>5.3310999999999997E-2</v>
      </c>
      <c r="AX34" s="6">
        <v>5.0106999999999999E-2</v>
      </c>
      <c r="AY34" s="6">
        <v>-6.8419999999999995E-2</v>
      </c>
      <c r="AZ34" s="6">
        <v>1.2225E-2</v>
      </c>
      <c r="BA34" s="5"/>
      <c r="BB34" s="5"/>
      <c r="BC34" s="5"/>
      <c r="BD34" s="6">
        <v>6.0291999999999998E-2</v>
      </c>
      <c r="BE34" s="6">
        <v>1.1388000000000001E-2</v>
      </c>
      <c r="BF34" s="6">
        <v>4.7347E-2</v>
      </c>
      <c r="BG34" s="6">
        <v>3.1185999999999998E-2</v>
      </c>
      <c r="BH34" s="6">
        <v>0.133961</v>
      </c>
    </row>
    <row r="35" spans="1:60" ht="15.75" customHeight="1" x14ac:dyDescent="0.2">
      <c r="A35" s="8">
        <v>2001</v>
      </c>
      <c r="B35" s="5">
        <v>133.58000000000001</v>
      </c>
      <c r="C35" s="3">
        <f>'Median Price of new US Homes'!D35</f>
        <v>173100</v>
      </c>
      <c r="D35" s="5" t="s">
        <v>79</v>
      </c>
      <c r="E35" s="6">
        <v>284915</v>
      </c>
      <c r="F35" s="6">
        <v>152.80539999999999</v>
      </c>
      <c r="G35" s="6">
        <v>28726.09</v>
      </c>
      <c r="H35" s="6">
        <v>92.928340000000006</v>
      </c>
      <c r="I35" s="6">
        <v>89.934600000000003</v>
      </c>
      <c r="J35" s="6">
        <v>10581.9</v>
      </c>
      <c r="K35" s="6">
        <v>0.22404499999999999</v>
      </c>
      <c r="L35" s="6">
        <v>131.43</v>
      </c>
      <c r="M35" s="6">
        <v>-394.07900000000001</v>
      </c>
      <c r="N35" s="6">
        <v>1403.559</v>
      </c>
      <c r="O35" s="6">
        <v>1026.7249999999999</v>
      </c>
      <c r="P35" s="6">
        <v>665.58</v>
      </c>
      <c r="Q35" s="6">
        <v>5203.567</v>
      </c>
      <c r="R35" s="6">
        <v>3.88</v>
      </c>
      <c r="S35" s="6">
        <v>5.0175000000000001</v>
      </c>
      <c r="T35" s="6">
        <v>152.80539999999999</v>
      </c>
      <c r="U35" s="6">
        <v>4.7313000000000001</v>
      </c>
      <c r="V35" s="6">
        <v>149.59870000000001</v>
      </c>
      <c r="W35" s="6">
        <v>0.54800000000000004</v>
      </c>
      <c r="X35" s="6">
        <v>1991.0820000000001</v>
      </c>
      <c r="Y35" s="6">
        <v>1862.846</v>
      </c>
      <c r="Z35" s="6">
        <v>1</v>
      </c>
      <c r="AA35" s="6">
        <v>5461.07</v>
      </c>
      <c r="AB35" s="6">
        <v>3459.2820000000002</v>
      </c>
      <c r="AC35" s="6">
        <v>3555.4789999999998</v>
      </c>
      <c r="AD35" s="6">
        <v>1990.7929999999999</v>
      </c>
      <c r="AE35" s="6">
        <v>11577.78</v>
      </c>
      <c r="AF35" s="6">
        <v>7.6493440000000001</v>
      </c>
      <c r="AG35" s="6">
        <v>87.081779999999995</v>
      </c>
      <c r="AH35" s="6">
        <v>27.656659999999999</v>
      </c>
      <c r="AI35" s="6">
        <v>0</v>
      </c>
      <c r="AJ35" s="6">
        <v>0</v>
      </c>
      <c r="AK35" s="6">
        <v>0</v>
      </c>
      <c r="AL35" s="6">
        <v>0</v>
      </c>
      <c r="AM35" s="5" t="s">
        <v>80</v>
      </c>
      <c r="AN35" s="5" t="s">
        <v>81</v>
      </c>
      <c r="AO35" s="5"/>
      <c r="AP35" s="6">
        <v>-0.12792999999999999</v>
      </c>
      <c r="AQ35" s="6">
        <v>0.12703999999999999</v>
      </c>
      <c r="AR35" s="6">
        <v>3.5000000000000003E-2</v>
      </c>
      <c r="AS35" s="6">
        <v>3.6866999999999997E-2</v>
      </c>
      <c r="AT35" s="5"/>
      <c r="AU35" s="5"/>
      <c r="AV35" s="6">
        <v>7.4699000000000002E-2</v>
      </c>
      <c r="AW35" s="6">
        <v>5.2340999999999999E-2</v>
      </c>
      <c r="AX35" s="6">
        <v>4.8703000000000003E-2</v>
      </c>
      <c r="AY35" s="6">
        <v>-0.13975000000000001</v>
      </c>
      <c r="AZ35" s="6">
        <v>1.3748E-2</v>
      </c>
      <c r="BA35" s="5"/>
      <c r="BB35" s="5"/>
      <c r="BC35" s="5"/>
      <c r="BD35" s="6">
        <v>5.0174999999999997E-2</v>
      </c>
      <c r="BE35" s="6">
        <v>1.1826E-2</v>
      </c>
      <c r="BF35" s="6">
        <v>1.6094000000000001E-2</v>
      </c>
      <c r="BG35" s="6">
        <v>1.2395E-2</v>
      </c>
      <c r="BH35" s="6">
        <v>3.5933E-2</v>
      </c>
    </row>
    <row r="36" spans="1:60" ht="15.75" customHeight="1" x14ac:dyDescent="0.2">
      <c r="A36" s="8">
        <v>2002</v>
      </c>
      <c r="B36" s="5">
        <v>142.08000000000001</v>
      </c>
      <c r="C36" s="3">
        <f>'Median Price of new US Homes'!D36</f>
        <v>186025</v>
      </c>
      <c r="D36" s="5" t="s">
        <v>79</v>
      </c>
      <c r="E36" s="6">
        <v>287501</v>
      </c>
      <c r="F36" s="6">
        <v>162.48330000000001</v>
      </c>
      <c r="G36" s="6">
        <v>28976.93</v>
      </c>
      <c r="H36" s="6">
        <v>93.538250000000005</v>
      </c>
      <c r="I36" s="6">
        <v>91.431299999999993</v>
      </c>
      <c r="J36" s="6">
        <v>10929.1</v>
      </c>
      <c r="K36" s="6">
        <v>0.21402599999999999</v>
      </c>
      <c r="L36" s="6">
        <v>133.5018</v>
      </c>
      <c r="M36" s="6">
        <v>-456.10899999999998</v>
      </c>
      <c r="N36" s="6">
        <v>1437.7239999999999</v>
      </c>
      <c r="O36" s="6">
        <v>997.97929999999997</v>
      </c>
      <c r="P36" s="6">
        <v>714.04399999999998</v>
      </c>
      <c r="Q36" s="6">
        <v>5591.15</v>
      </c>
      <c r="R36" s="6">
        <v>1.67</v>
      </c>
      <c r="S36" s="6">
        <v>4.61083</v>
      </c>
      <c r="T36" s="6">
        <v>162.48330000000001</v>
      </c>
      <c r="U36" s="6">
        <v>5.7831999999999999</v>
      </c>
      <c r="V36" s="6">
        <v>152.76570000000001</v>
      </c>
      <c r="W36" s="6">
        <v>0.57199999999999995</v>
      </c>
      <c r="X36" s="6">
        <v>1853.136</v>
      </c>
      <c r="Y36" s="6">
        <v>2010.894</v>
      </c>
      <c r="Z36" s="6">
        <v>1</v>
      </c>
      <c r="AA36" s="6">
        <v>5826.4070000000002</v>
      </c>
      <c r="AB36" s="6">
        <v>3847.0929999999998</v>
      </c>
      <c r="AC36" s="6">
        <v>3931.402</v>
      </c>
      <c r="AD36" s="6">
        <v>1989.817</v>
      </c>
      <c r="AE36" s="6">
        <v>11905.7</v>
      </c>
      <c r="AF36" s="6">
        <v>7.6117850000000002</v>
      </c>
      <c r="AG36" s="6">
        <v>86.980819999999994</v>
      </c>
      <c r="AH36" s="6">
        <v>28.270420000000001</v>
      </c>
      <c r="AI36" s="6">
        <v>0</v>
      </c>
      <c r="AJ36" s="6">
        <v>0</v>
      </c>
      <c r="AK36" s="6">
        <v>0</v>
      </c>
      <c r="AL36" s="6">
        <v>0</v>
      </c>
      <c r="AM36" s="5" t="s">
        <v>80</v>
      </c>
      <c r="AN36" s="5" t="s">
        <v>81</v>
      </c>
      <c r="AO36" s="5"/>
      <c r="AP36" s="6">
        <v>-0.20061000000000001</v>
      </c>
      <c r="AQ36" s="6">
        <v>0.113966</v>
      </c>
      <c r="AR36" s="6">
        <v>0.15904099999999999</v>
      </c>
      <c r="AS36" s="6">
        <v>1.7257999999999999E-2</v>
      </c>
      <c r="AT36" s="5"/>
      <c r="AU36" s="5"/>
      <c r="AV36" s="6">
        <v>6.3336000000000003E-2</v>
      </c>
      <c r="AW36" s="6">
        <v>5.0630000000000001E-2</v>
      </c>
      <c r="AX36" s="6">
        <v>4.7614999999999998E-2</v>
      </c>
      <c r="AY36" s="6">
        <v>-0.21464</v>
      </c>
      <c r="AZ36" s="6">
        <v>1.7871999999999999E-2</v>
      </c>
      <c r="BA36" s="5"/>
      <c r="BB36" s="5"/>
      <c r="BC36" s="5"/>
      <c r="BD36" s="6">
        <v>4.6108000000000003E-2</v>
      </c>
      <c r="BE36" s="6">
        <v>1.4036E-2</v>
      </c>
      <c r="BF36" s="6">
        <v>1.3070999999999999E-2</v>
      </c>
      <c r="BG36" s="6">
        <v>-2.6900000000000001E-3</v>
      </c>
      <c r="BH36" s="6">
        <v>8.8150000000000006E-2</v>
      </c>
    </row>
    <row r="37" spans="1:60" ht="15.75" customHeight="1" x14ac:dyDescent="0.2">
      <c r="A37" s="8">
        <v>2003</v>
      </c>
      <c r="B37" s="5">
        <v>153.97999999999999</v>
      </c>
      <c r="C37" s="3">
        <f>'Median Price of new US Homes'!D37</f>
        <v>192125</v>
      </c>
      <c r="D37" s="5" t="s">
        <v>79</v>
      </c>
      <c r="E37" s="6">
        <v>289986</v>
      </c>
      <c r="F37" s="6">
        <v>172.58580000000001</v>
      </c>
      <c r="G37" s="6">
        <v>29458.92</v>
      </c>
      <c r="H37" s="6">
        <v>95.07826</v>
      </c>
      <c r="I37" s="6">
        <v>93.182299999999998</v>
      </c>
      <c r="J37" s="6">
        <v>11456.5</v>
      </c>
      <c r="K37" s="6">
        <v>0.214892</v>
      </c>
      <c r="L37" s="6">
        <v>136.53360000000001</v>
      </c>
      <c r="M37" s="6">
        <v>-522.29700000000003</v>
      </c>
      <c r="N37" s="6">
        <v>1557.12</v>
      </c>
      <c r="O37" s="6">
        <v>1035.165</v>
      </c>
      <c r="P37" s="6">
        <v>752.95399999999995</v>
      </c>
      <c r="Q37" s="6">
        <v>5980.5</v>
      </c>
      <c r="R37" s="6">
        <v>1.1299999999999999</v>
      </c>
      <c r="S37" s="6">
        <v>4.0149999999999997</v>
      </c>
      <c r="T37" s="6">
        <v>172.58580000000001</v>
      </c>
      <c r="U37" s="6">
        <v>5.9886999999999997</v>
      </c>
      <c r="V37" s="6">
        <v>157.6438</v>
      </c>
      <c r="W37" s="6">
        <v>0.59899999999999998</v>
      </c>
      <c r="X37" s="6">
        <v>1782.3140000000001</v>
      </c>
      <c r="Y37" s="6">
        <v>2159.8989999999999</v>
      </c>
      <c r="Z37" s="6">
        <v>1</v>
      </c>
      <c r="AA37" s="6">
        <v>6318.384</v>
      </c>
      <c r="AB37" s="6">
        <v>4263.3829999999998</v>
      </c>
      <c r="AC37" s="6">
        <v>4369.9960000000001</v>
      </c>
      <c r="AD37" s="6">
        <v>2073.5819999999999</v>
      </c>
      <c r="AE37" s="6">
        <v>11871.4</v>
      </c>
      <c r="AF37" s="6">
        <v>7.596965</v>
      </c>
      <c r="AG37" s="6">
        <v>86.430530000000005</v>
      </c>
      <c r="AH37" s="6">
        <v>28.317049999999998</v>
      </c>
      <c r="AI37" s="6">
        <v>0</v>
      </c>
      <c r="AJ37" s="6">
        <v>0</v>
      </c>
      <c r="AK37" s="6">
        <v>0</v>
      </c>
      <c r="AL37" s="6">
        <v>0</v>
      </c>
      <c r="AM37" s="5" t="s">
        <v>80</v>
      </c>
      <c r="AN37" s="5" t="s">
        <v>81</v>
      </c>
      <c r="AO37" s="5"/>
      <c r="AP37" s="6">
        <v>0.22114600000000001</v>
      </c>
      <c r="AQ37" s="6">
        <v>0.111176</v>
      </c>
      <c r="AR37" s="6">
        <v>2.0222E-2</v>
      </c>
      <c r="AS37" s="6">
        <v>1.1508000000000001E-2</v>
      </c>
      <c r="AT37" s="5"/>
      <c r="AU37" s="5"/>
      <c r="AV37" s="6">
        <v>6.2178999999999998E-2</v>
      </c>
      <c r="AW37" s="6">
        <v>4.8996999999999999E-2</v>
      </c>
      <c r="AX37" s="6">
        <v>4.6129000000000003E-2</v>
      </c>
      <c r="AY37" s="6">
        <v>0.20180600000000001</v>
      </c>
      <c r="AZ37" s="6">
        <v>1.6091999999999999E-2</v>
      </c>
      <c r="BA37" s="5"/>
      <c r="BB37" s="5"/>
      <c r="BC37" s="5"/>
      <c r="BD37" s="6">
        <v>4.0149999999999998E-2</v>
      </c>
      <c r="BE37" s="6">
        <v>1.934E-2</v>
      </c>
      <c r="BF37" s="6">
        <v>0.13298399999999999</v>
      </c>
      <c r="BG37" s="6">
        <v>0.15595600000000001</v>
      </c>
      <c r="BH37" s="6">
        <v>1.5865000000000001E-2</v>
      </c>
    </row>
    <row r="38" spans="1:60" ht="15.75" customHeight="1" x14ac:dyDescent="0.2">
      <c r="A38" s="8">
        <v>2004</v>
      </c>
      <c r="B38" s="5">
        <v>162.97</v>
      </c>
      <c r="C38" s="3">
        <f>'Median Price of new US Homes'!D38</f>
        <v>218150</v>
      </c>
      <c r="D38" s="5" t="s">
        <v>79</v>
      </c>
      <c r="E38" s="6">
        <v>292806</v>
      </c>
      <c r="F38" s="6">
        <v>188.6661</v>
      </c>
      <c r="G38" s="6">
        <v>30199.8</v>
      </c>
      <c r="H38" s="6">
        <v>97.658510000000007</v>
      </c>
      <c r="I38" s="6">
        <v>95.6691</v>
      </c>
      <c r="J38" s="6">
        <v>12217.2</v>
      </c>
      <c r="K38" s="6">
        <v>0.22006700000000001</v>
      </c>
      <c r="L38" s="6">
        <v>140.22229999999999</v>
      </c>
      <c r="M38" s="6">
        <v>-635.88699999999994</v>
      </c>
      <c r="N38" s="6">
        <v>1810.5039999999999</v>
      </c>
      <c r="O38" s="6">
        <v>1176.3630000000001</v>
      </c>
      <c r="P38" s="6">
        <v>787.96299999999997</v>
      </c>
      <c r="Q38" s="6">
        <v>6265.25</v>
      </c>
      <c r="R38" s="6">
        <v>1.35</v>
      </c>
      <c r="S38" s="6">
        <v>4.2741699999999998</v>
      </c>
      <c r="T38" s="6">
        <v>188.6661</v>
      </c>
      <c r="U38" s="6">
        <v>5.5286</v>
      </c>
      <c r="V38" s="6">
        <v>164.57499999999999</v>
      </c>
      <c r="W38" s="6">
        <v>0.61199999999999999</v>
      </c>
      <c r="X38" s="6">
        <v>1880.114</v>
      </c>
      <c r="Y38" s="6">
        <v>2292.8409999999999</v>
      </c>
      <c r="Z38" s="6">
        <v>1</v>
      </c>
      <c r="AA38" s="6">
        <v>7081.5479999999998</v>
      </c>
      <c r="AB38" s="6">
        <v>4924.2510000000002</v>
      </c>
      <c r="AC38" s="6">
        <v>4981.0969999999998</v>
      </c>
      <c r="AD38" s="6">
        <v>2279.5349999999999</v>
      </c>
      <c r="AE38" s="6">
        <v>12606.18</v>
      </c>
      <c r="AF38" s="6">
        <v>7.7938980000000004</v>
      </c>
      <c r="AG38" s="6">
        <v>86.406480000000002</v>
      </c>
      <c r="AH38" s="6">
        <v>27.92032</v>
      </c>
      <c r="AI38" s="6">
        <v>0</v>
      </c>
      <c r="AJ38" s="6">
        <v>0</v>
      </c>
      <c r="AK38" s="6">
        <v>0</v>
      </c>
      <c r="AL38" s="6">
        <v>0</v>
      </c>
      <c r="AM38" s="5" t="s">
        <v>80</v>
      </c>
      <c r="AN38" s="5" t="s">
        <v>81</v>
      </c>
      <c r="AO38" s="5"/>
      <c r="AP38" s="6">
        <v>0.12771099999999999</v>
      </c>
      <c r="AQ38" s="6">
        <v>0.14053499999999999</v>
      </c>
      <c r="AR38" s="6">
        <v>6.9047999999999998E-2</v>
      </c>
      <c r="AS38" s="6">
        <v>1.5633000000000001E-2</v>
      </c>
      <c r="AT38" s="5"/>
      <c r="AU38" s="5"/>
      <c r="AV38" s="6">
        <v>9.3171000000000004E-2</v>
      </c>
      <c r="AW38" s="6">
        <v>4.7364000000000003E-2</v>
      </c>
      <c r="AX38" s="6">
        <v>4.3326999999999997E-2</v>
      </c>
      <c r="AY38" s="6">
        <v>0.109722</v>
      </c>
      <c r="AZ38" s="6">
        <v>1.6211E-2</v>
      </c>
      <c r="BA38" s="5"/>
      <c r="BB38" s="5"/>
      <c r="BC38" s="5"/>
      <c r="BD38" s="6">
        <v>4.2742000000000002E-2</v>
      </c>
      <c r="BE38" s="6">
        <v>1.7989000000000002E-2</v>
      </c>
      <c r="BF38" s="6">
        <v>0.12080299999999999</v>
      </c>
      <c r="BG38" s="6">
        <v>0.13533899999999999</v>
      </c>
      <c r="BH38" s="6">
        <v>4.2340000000000003E-2</v>
      </c>
    </row>
    <row r="39" spans="1:60" ht="15.75" customHeight="1" x14ac:dyDescent="0.2">
      <c r="A39" s="8">
        <v>2005</v>
      </c>
      <c r="B39" s="5">
        <v>172.34</v>
      </c>
      <c r="C39" s="3">
        <f>'Median Price of new US Homes'!D39</f>
        <v>236550</v>
      </c>
      <c r="D39" s="5" t="s">
        <v>79</v>
      </c>
      <c r="E39" s="6">
        <v>295583</v>
      </c>
      <c r="F39" s="6">
        <v>209.98419999999999</v>
      </c>
      <c r="G39" s="6">
        <v>30841.65</v>
      </c>
      <c r="H39" s="6">
        <v>100</v>
      </c>
      <c r="I39" s="6">
        <v>97.836100000000002</v>
      </c>
      <c r="J39" s="6">
        <v>13039.2</v>
      </c>
      <c r="K39" s="6">
        <v>0.227682</v>
      </c>
      <c r="L39" s="6">
        <v>144.97219999999999</v>
      </c>
      <c r="M39" s="6">
        <v>-749.23</v>
      </c>
      <c r="N39" s="6">
        <v>2041.4829999999999</v>
      </c>
      <c r="O39" s="6">
        <v>1301.58</v>
      </c>
      <c r="P39" s="6">
        <v>815.43200000000002</v>
      </c>
      <c r="Q39" s="6">
        <v>6532.5919999999996</v>
      </c>
      <c r="R39" s="6">
        <v>3.22</v>
      </c>
      <c r="S39" s="6">
        <v>4.29</v>
      </c>
      <c r="T39" s="6">
        <v>209.98419999999999</v>
      </c>
      <c r="U39" s="6">
        <v>5.0834999999999999</v>
      </c>
      <c r="V39" s="6">
        <v>169.4572</v>
      </c>
      <c r="W39" s="6">
        <v>0.61599999999999999</v>
      </c>
      <c r="X39" s="6">
        <v>2153.6109999999999</v>
      </c>
      <c r="Y39" s="6">
        <v>2471.9569999999999</v>
      </c>
      <c r="Z39" s="6">
        <v>1</v>
      </c>
      <c r="AA39" s="6">
        <v>7767.335</v>
      </c>
      <c r="AB39" s="6">
        <v>5481.6890000000003</v>
      </c>
      <c r="AC39" s="6">
        <v>5441.4809999999998</v>
      </c>
      <c r="AD39" s="6">
        <v>2564.9119999999998</v>
      </c>
      <c r="AE39" s="6">
        <v>13809.5</v>
      </c>
      <c r="AF39" s="6">
        <v>7.9730850000000002</v>
      </c>
      <c r="AG39" s="6">
        <v>87.489909999999995</v>
      </c>
      <c r="AH39" s="6">
        <v>27.009689999999999</v>
      </c>
      <c r="AI39" s="6">
        <v>0</v>
      </c>
      <c r="AJ39" s="6">
        <v>0</v>
      </c>
      <c r="AK39" s="6">
        <v>0</v>
      </c>
      <c r="AL39" s="6">
        <v>0</v>
      </c>
      <c r="AM39" s="5" t="s">
        <v>80</v>
      </c>
      <c r="AN39" s="5" t="s">
        <v>81</v>
      </c>
      <c r="AO39" s="5"/>
      <c r="AP39" s="6">
        <v>7.0946999999999996E-2</v>
      </c>
      <c r="AQ39" s="6">
        <v>0.157614</v>
      </c>
      <c r="AR39" s="6">
        <v>7.6036999999999993E-2</v>
      </c>
      <c r="AS39" s="6">
        <v>3.5117000000000002E-2</v>
      </c>
      <c r="AT39" s="5"/>
      <c r="AU39" s="5"/>
      <c r="AV39" s="6">
        <v>0.112993</v>
      </c>
      <c r="AW39" s="6">
        <v>4.4621000000000001E-2</v>
      </c>
      <c r="AX39" s="6">
        <v>4.0091000000000002E-2</v>
      </c>
      <c r="AY39" s="6">
        <v>5.2417999999999999E-2</v>
      </c>
      <c r="AZ39" s="6">
        <v>1.7606E-2</v>
      </c>
      <c r="BA39" s="5"/>
      <c r="BB39" s="5"/>
      <c r="BC39" s="5"/>
      <c r="BD39" s="6">
        <v>4.2900000000000001E-2</v>
      </c>
      <c r="BE39" s="6">
        <v>1.8529E-2</v>
      </c>
      <c r="BF39" s="6">
        <v>0.114245</v>
      </c>
      <c r="BG39" s="6">
        <v>0.124749</v>
      </c>
      <c r="BH39" s="6">
        <v>5.5577000000000001E-2</v>
      </c>
    </row>
    <row r="40" spans="1:60" ht="15.75" customHeight="1" x14ac:dyDescent="0.2">
      <c r="A40" s="8">
        <v>2006</v>
      </c>
      <c r="B40" s="5">
        <v>150.08000000000001</v>
      </c>
      <c r="C40" s="3">
        <f>'Median Price of new US Homes'!D40</f>
        <v>243750</v>
      </c>
      <c r="D40" s="5" t="s">
        <v>79</v>
      </c>
      <c r="E40" s="6">
        <v>298442</v>
      </c>
      <c r="F40" s="6">
        <v>225.10310000000001</v>
      </c>
      <c r="G40" s="6">
        <v>31357.54</v>
      </c>
      <c r="H40" s="6">
        <v>101.86799999999999</v>
      </c>
      <c r="I40" s="6">
        <v>100</v>
      </c>
      <c r="J40" s="6">
        <v>13815.6</v>
      </c>
      <c r="K40" s="6">
        <v>0.22850200000000001</v>
      </c>
      <c r="L40" s="6">
        <v>149.67160000000001</v>
      </c>
      <c r="M40" s="6">
        <v>-816.64200000000005</v>
      </c>
      <c r="N40" s="6">
        <v>2256.623</v>
      </c>
      <c r="O40" s="6">
        <v>1470.17</v>
      </c>
      <c r="P40" s="6">
        <v>837.70100000000002</v>
      </c>
      <c r="Q40" s="6">
        <v>6874.2250000000004</v>
      </c>
      <c r="R40" s="6">
        <v>4.97</v>
      </c>
      <c r="S40" s="6">
        <v>4.7916699999999999</v>
      </c>
      <c r="T40" s="6">
        <v>225.10310000000001</v>
      </c>
      <c r="U40" s="6">
        <v>4.6230000000000002</v>
      </c>
      <c r="V40" s="6">
        <v>176.8288</v>
      </c>
      <c r="W40" s="6">
        <v>0.62</v>
      </c>
      <c r="X40" s="6">
        <v>2406.8690000000001</v>
      </c>
      <c r="Y40" s="6">
        <v>2655.05</v>
      </c>
      <c r="Z40" s="6">
        <v>1</v>
      </c>
      <c r="AA40" s="6">
        <v>8366.0930000000008</v>
      </c>
      <c r="AB40" s="6">
        <v>5935.1120000000001</v>
      </c>
      <c r="AC40" s="6">
        <v>5782.643</v>
      </c>
      <c r="AD40" s="6">
        <v>2855.3240000000001</v>
      </c>
      <c r="AE40" s="6">
        <v>14858.83</v>
      </c>
      <c r="AF40" s="6">
        <v>7.8914369999999998</v>
      </c>
      <c r="AG40" s="6">
        <v>87.838229999999996</v>
      </c>
      <c r="AH40" s="6">
        <v>27.58464</v>
      </c>
      <c r="AI40" s="6">
        <v>0</v>
      </c>
      <c r="AJ40" s="6">
        <v>0</v>
      </c>
      <c r="AK40" s="6">
        <v>0</v>
      </c>
      <c r="AL40" s="6">
        <v>0</v>
      </c>
      <c r="AM40" s="5" t="s">
        <v>80</v>
      </c>
      <c r="AN40" s="5" t="s">
        <v>81</v>
      </c>
      <c r="AO40" s="5"/>
      <c r="AP40" s="6">
        <v>0.142013</v>
      </c>
      <c r="AQ40" s="6">
        <v>0.11353000000000001</v>
      </c>
      <c r="AR40" s="6">
        <v>5.4500000000000002E-4</v>
      </c>
      <c r="AS40" s="6">
        <v>5.1533000000000002E-2</v>
      </c>
      <c r="AT40" s="5"/>
      <c r="AU40" s="5"/>
      <c r="AV40" s="6">
        <v>7.2000999999999996E-2</v>
      </c>
      <c r="AW40" s="6">
        <v>4.1529999999999997E-2</v>
      </c>
      <c r="AX40" s="6">
        <v>3.8739999999999997E-2</v>
      </c>
      <c r="AY40" s="6">
        <v>0.122299</v>
      </c>
      <c r="AZ40" s="6">
        <v>1.7565000000000001E-2</v>
      </c>
      <c r="BA40" s="5"/>
      <c r="BB40" s="5"/>
      <c r="BC40" s="5"/>
      <c r="BD40" s="6">
        <v>4.7917000000000001E-2</v>
      </c>
      <c r="BE40" s="6">
        <v>1.9713999999999999E-2</v>
      </c>
      <c r="BF40" s="6">
        <v>0.11014500000000001</v>
      </c>
      <c r="BG40" s="6">
        <v>0.12511900000000001</v>
      </c>
      <c r="BH40" s="6">
        <v>2.6039E-2</v>
      </c>
    </row>
    <row r="41" spans="1:60" ht="15.75" customHeight="1" x14ac:dyDescent="0.2">
      <c r="A41" s="8">
        <v>2007</v>
      </c>
      <c r="B41" s="5">
        <v>85.91</v>
      </c>
      <c r="C41" s="3">
        <f>'Median Price of new US Homes'!D41</f>
        <v>244950</v>
      </c>
      <c r="D41" s="5" t="s">
        <v>79</v>
      </c>
      <c r="E41" s="6">
        <v>301280</v>
      </c>
      <c r="F41" s="6">
        <v>227.8115</v>
      </c>
      <c r="G41" s="6">
        <v>31654.93</v>
      </c>
      <c r="H41" s="6">
        <v>102.79689999999999</v>
      </c>
      <c r="I41" s="6">
        <v>100.75490000000001</v>
      </c>
      <c r="J41" s="6">
        <v>14474.2</v>
      </c>
      <c r="K41" s="6">
        <v>0.22112799999999999</v>
      </c>
      <c r="L41" s="6">
        <v>153.9161</v>
      </c>
      <c r="M41" s="6">
        <v>-736.55399999999997</v>
      </c>
      <c r="N41" s="6">
        <v>2395.2280000000001</v>
      </c>
      <c r="O41" s="6">
        <v>1659.2950000000001</v>
      </c>
      <c r="P41" s="6">
        <v>847.35900000000004</v>
      </c>
      <c r="Q41" s="6">
        <v>7294.4669999999996</v>
      </c>
      <c r="R41" s="6">
        <v>5.0199999999999996</v>
      </c>
      <c r="S41" s="6">
        <v>4.6291700000000002</v>
      </c>
      <c r="T41" s="6">
        <v>227.8115</v>
      </c>
      <c r="U41" s="6">
        <v>4.6220999999999997</v>
      </c>
      <c r="V41" s="6">
        <v>184.9246</v>
      </c>
      <c r="W41" s="6">
        <v>0.626</v>
      </c>
      <c r="X41" s="6">
        <v>2567.9850000000001</v>
      </c>
      <c r="Y41" s="6">
        <v>2728.6860000000001</v>
      </c>
      <c r="Z41" s="6">
        <v>1</v>
      </c>
      <c r="AA41" s="6">
        <v>8972.7860000000001</v>
      </c>
      <c r="AB41" s="6">
        <v>6262.08</v>
      </c>
      <c r="AC41" s="6">
        <v>6067.7579999999998</v>
      </c>
      <c r="AD41" s="6">
        <v>3291.5720000000001</v>
      </c>
      <c r="AE41" s="6">
        <v>16299.4</v>
      </c>
      <c r="AF41" s="6">
        <v>7.6271519999999997</v>
      </c>
      <c r="AG41" s="6">
        <v>89.430170000000004</v>
      </c>
      <c r="AH41" s="6">
        <v>29.192820000000001</v>
      </c>
      <c r="AI41" s="6">
        <v>1</v>
      </c>
      <c r="AJ41" s="6">
        <v>1</v>
      </c>
      <c r="AK41" s="6">
        <v>0</v>
      </c>
      <c r="AL41" s="6">
        <v>0</v>
      </c>
      <c r="AM41" s="5" t="s">
        <v>80</v>
      </c>
      <c r="AN41" s="5" t="s">
        <v>81</v>
      </c>
      <c r="AO41" s="5"/>
      <c r="AP41" s="6">
        <v>6.3915E-2</v>
      </c>
      <c r="AQ41" s="6">
        <v>5.2419E-2</v>
      </c>
      <c r="AR41" s="6">
        <v>8.6095000000000005E-2</v>
      </c>
      <c r="AS41" s="6">
        <v>5.2683000000000001E-2</v>
      </c>
      <c r="AT41" s="5"/>
      <c r="AU41" s="5"/>
      <c r="AV41" s="6">
        <v>1.2030000000000001E-2</v>
      </c>
      <c r="AW41" s="6">
        <v>4.0389000000000001E-2</v>
      </c>
      <c r="AX41" s="6">
        <v>3.9909E-2</v>
      </c>
      <c r="AY41" s="6">
        <v>4.4337000000000001E-2</v>
      </c>
      <c r="AZ41" s="6">
        <v>1.8745999999999999E-2</v>
      </c>
      <c r="BA41" s="5"/>
      <c r="BB41" s="5"/>
      <c r="BC41" s="5"/>
      <c r="BD41" s="6">
        <v>4.6292E-2</v>
      </c>
      <c r="BE41" s="6">
        <v>1.9578000000000002E-2</v>
      </c>
      <c r="BF41" s="6">
        <v>5.9346999999999997E-2</v>
      </c>
      <c r="BG41" s="6">
        <v>5.7378999999999999E-2</v>
      </c>
      <c r="BH41" s="6">
        <v>6.9389000000000006E-2</v>
      </c>
    </row>
    <row r="42" spans="1:60" ht="15.75" customHeight="1" x14ac:dyDescent="0.2">
      <c r="A42" s="8">
        <v>2008</v>
      </c>
      <c r="B42" s="5">
        <v>75.47</v>
      </c>
      <c r="C42" s="3">
        <f>'Median Price of new US Homes'!D42</f>
        <v>229550</v>
      </c>
      <c r="D42" s="5" t="s">
        <v>79</v>
      </c>
      <c r="E42" s="6">
        <v>304228</v>
      </c>
      <c r="F42" s="6">
        <v>217.00839999999999</v>
      </c>
      <c r="G42" s="6">
        <v>31251.27</v>
      </c>
      <c r="H42" s="6">
        <v>101.69</v>
      </c>
      <c r="I42" s="6">
        <v>99.624499999999998</v>
      </c>
      <c r="J42" s="6">
        <v>14769.9</v>
      </c>
      <c r="K42" s="6">
        <v>0.21004</v>
      </c>
      <c r="L42" s="6">
        <v>159.82820000000001</v>
      </c>
      <c r="M42" s="6">
        <v>-696.52599999999995</v>
      </c>
      <c r="N42" s="6">
        <v>2576.1509999999998</v>
      </c>
      <c r="O42" s="6">
        <v>1835.2809999999999</v>
      </c>
      <c r="P42" s="6">
        <v>1669.26</v>
      </c>
      <c r="Q42" s="6">
        <v>7787.558</v>
      </c>
      <c r="R42" s="6">
        <v>1.92</v>
      </c>
      <c r="S42" s="6">
        <v>3.6666699999999999</v>
      </c>
      <c r="T42" s="6">
        <v>217.00839999999999</v>
      </c>
      <c r="U42" s="6">
        <v>5.7842000000000002</v>
      </c>
      <c r="V42" s="6">
        <v>189.8321</v>
      </c>
      <c r="W42" s="6">
        <v>0.67700000000000005</v>
      </c>
      <c r="X42" s="6">
        <v>2523.991</v>
      </c>
      <c r="Y42" s="6">
        <v>2982.5439999999999</v>
      </c>
      <c r="Z42" s="6">
        <v>1</v>
      </c>
      <c r="AA42" s="6">
        <v>9296.9850000000006</v>
      </c>
      <c r="AB42" s="6">
        <v>6373.05</v>
      </c>
      <c r="AC42" s="6">
        <v>6119.9560000000001</v>
      </c>
      <c r="AD42" s="6">
        <v>3492.1010000000001</v>
      </c>
      <c r="AE42" s="6">
        <v>16965.580000000002</v>
      </c>
      <c r="AF42" s="6">
        <v>7.2189170000000003</v>
      </c>
      <c r="AG42" s="6">
        <v>82.672579999999996</v>
      </c>
      <c r="AH42" s="6">
        <v>29.22944</v>
      </c>
      <c r="AI42" s="6">
        <v>0</v>
      </c>
      <c r="AJ42" s="6">
        <v>0</v>
      </c>
      <c r="AK42" s="6">
        <v>0</v>
      </c>
      <c r="AL42" s="6">
        <v>0</v>
      </c>
      <c r="AM42" s="5" t="s">
        <v>80</v>
      </c>
      <c r="AN42" s="5" t="s">
        <v>81</v>
      </c>
      <c r="AO42" s="5"/>
      <c r="AP42" s="6">
        <v>-0.38755000000000001</v>
      </c>
      <c r="AQ42" s="6">
        <v>-6.0499999999999998E-3</v>
      </c>
      <c r="AR42" s="6">
        <v>0.246835</v>
      </c>
      <c r="AS42" s="6">
        <v>2.9649999999999999E-2</v>
      </c>
      <c r="AT42" s="5"/>
      <c r="AU42" s="5"/>
      <c r="AV42" s="6">
        <v>-4.7419999999999997E-2</v>
      </c>
      <c r="AW42" s="6">
        <v>4.1369999999999997E-2</v>
      </c>
      <c r="AX42" s="6">
        <v>4.3429000000000002E-2</v>
      </c>
      <c r="AY42" s="6">
        <v>-0.40673999999999999</v>
      </c>
      <c r="AZ42" s="6">
        <v>3.2350999999999998E-2</v>
      </c>
      <c r="BA42" s="5"/>
      <c r="BB42" s="5"/>
      <c r="BC42" s="5"/>
      <c r="BD42" s="6">
        <v>3.6666999999999998E-2</v>
      </c>
      <c r="BE42" s="6">
        <v>1.9193000000000002E-2</v>
      </c>
      <c r="BF42" s="6">
        <v>-7.4270000000000003E-2</v>
      </c>
      <c r="BG42" s="6">
        <v>-0.13696</v>
      </c>
      <c r="BH42" s="6">
        <v>0.138242</v>
      </c>
    </row>
    <row r="43" spans="1:60" ht="15.75" customHeight="1" x14ac:dyDescent="0.2">
      <c r="A43" s="8">
        <v>2009</v>
      </c>
      <c r="B43" s="5">
        <v>46.16</v>
      </c>
      <c r="C43" s="3">
        <f>'Median Price of new US Homes'!D43</f>
        <v>215650</v>
      </c>
      <c r="D43" s="5" t="s">
        <v>79</v>
      </c>
      <c r="E43" s="6">
        <v>306879.7</v>
      </c>
      <c r="F43" s="6">
        <v>205.5214</v>
      </c>
      <c r="G43" s="6">
        <v>29898.639999999999</v>
      </c>
      <c r="H43" s="6">
        <v>98.245360000000005</v>
      </c>
      <c r="I43" s="6">
        <v>98.171099999999996</v>
      </c>
      <c r="J43" s="6">
        <v>14478.1</v>
      </c>
      <c r="K43" s="6">
        <v>0.185363</v>
      </c>
      <c r="L43" s="6">
        <v>159.2724</v>
      </c>
      <c r="M43" s="6">
        <v>-379.73599999999999</v>
      </c>
      <c r="N43" s="6">
        <v>2001.9269999999999</v>
      </c>
      <c r="O43" s="6">
        <v>1582.7739999999999</v>
      </c>
      <c r="P43" s="6">
        <v>2017.338</v>
      </c>
      <c r="Q43" s="6">
        <v>8413.2829999999994</v>
      </c>
      <c r="R43" s="6">
        <v>0.16</v>
      </c>
      <c r="S43" s="6">
        <v>3.2566700000000002</v>
      </c>
      <c r="T43" s="6">
        <v>205.5214</v>
      </c>
      <c r="U43" s="6">
        <v>9.2542000000000009</v>
      </c>
      <c r="V43" s="6">
        <v>191.1919</v>
      </c>
      <c r="W43" s="6">
        <v>0.82299999999999995</v>
      </c>
      <c r="X43" s="6">
        <v>2104.989</v>
      </c>
      <c r="Y43" s="6">
        <v>3517.6770000000001</v>
      </c>
      <c r="Z43" s="6">
        <v>1</v>
      </c>
      <c r="AA43" s="6">
        <v>8756.6810000000005</v>
      </c>
      <c r="AB43" s="6">
        <v>6175.1450000000004</v>
      </c>
      <c r="AC43" s="6">
        <v>5856.5339999999997</v>
      </c>
      <c r="AD43" s="6">
        <v>3076.3910000000001</v>
      </c>
      <c r="AE43" s="6">
        <v>16643.36</v>
      </c>
      <c r="AF43" s="6">
        <v>8.4518199999999997</v>
      </c>
      <c r="AG43" s="6">
        <v>75.368380000000002</v>
      </c>
      <c r="AH43" s="6">
        <v>23.002220000000001</v>
      </c>
      <c r="AI43" s="6">
        <v>0</v>
      </c>
      <c r="AJ43" s="6">
        <v>0</v>
      </c>
      <c r="AK43" s="6">
        <v>0</v>
      </c>
      <c r="AL43" s="6">
        <v>0</v>
      </c>
      <c r="AM43" s="5" t="s">
        <v>80</v>
      </c>
      <c r="AN43" s="5" t="s">
        <v>81</v>
      </c>
      <c r="AO43" s="5"/>
      <c r="AP43" s="6">
        <v>0.29084100000000002</v>
      </c>
      <c r="AQ43" s="6">
        <v>-8.5100000000000002E-3</v>
      </c>
      <c r="AR43" s="6">
        <v>-0.15221000000000001</v>
      </c>
      <c r="AS43" s="6">
        <v>5.5579999999999996E-3</v>
      </c>
      <c r="AT43" s="5"/>
      <c r="AU43" s="5"/>
      <c r="AV43" s="6">
        <v>-5.2929999999999998E-2</v>
      </c>
      <c r="AW43" s="6">
        <v>4.4419E-2</v>
      </c>
      <c r="AX43" s="6">
        <v>4.6900999999999998E-2</v>
      </c>
      <c r="AY43" s="6">
        <v>0.26530399999999998</v>
      </c>
      <c r="AZ43" s="6">
        <v>2.0181999999999999E-2</v>
      </c>
      <c r="BA43" s="5"/>
      <c r="BB43" s="5"/>
      <c r="BC43" s="5"/>
      <c r="BD43" s="6">
        <v>3.2566999999999999E-2</v>
      </c>
      <c r="BE43" s="6">
        <v>2.5537000000000001E-2</v>
      </c>
      <c r="BF43" s="6">
        <v>6.9255999999999998E-2</v>
      </c>
      <c r="BG43" s="6">
        <v>0.115982</v>
      </c>
      <c r="BH43" s="6">
        <v>-7.3319999999999996E-2</v>
      </c>
    </row>
    <row r="44" spans="1:60" ht="15.75" customHeight="1" x14ac:dyDescent="0.2">
      <c r="A44" s="8">
        <v>2010</v>
      </c>
      <c r="B44" s="5">
        <v>48.91</v>
      </c>
      <c r="C44" s="3">
        <f>'Median Price of new US Homes'!D44</f>
        <v>222700</v>
      </c>
      <c r="D44" s="5" t="s">
        <v>79</v>
      </c>
      <c r="E44" s="6">
        <v>309238.90000000002</v>
      </c>
      <c r="F44" s="6">
        <v>197.49180000000001</v>
      </c>
      <c r="G44" s="6">
        <v>30491.34</v>
      </c>
      <c r="H44" s="6">
        <v>99.931640000000002</v>
      </c>
      <c r="I44" s="6">
        <v>99.225890000000007</v>
      </c>
      <c r="J44" s="6">
        <v>15049</v>
      </c>
      <c r="K44" s="6">
        <v>0.17983299999999999</v>
      </c>
      <c r="L44" s="6">
        <v>161.8999</v>
      </c>
      <c r="M44" s="6">
        <v>-432.00200000000001</v>
      </c>
      <c r="N44" s="6">
        <v>2389.5549999999998</v>
      </c>
      <c r="O44" s="6">
        <v>1857.2470000000001</v>
      </c>
      <c r="P44" s="6">
        <v>2009.34</v>
      </c>
      <c r="Q44" s="6">
        <v>8624.2170000000006</v>
      </c>
      <c r="R44" s="6">
        <v>0.18</v>
      </c>
      <c r="S44" s="6">
        <v>3.2141700000000002</v>
      </c>
      <c r="T44" s="6">
        <v>197.49180000000001</v>
      </c>
      <c r="U44" s="6">
        <v>9.6334</v>
      </c>
      <c r="V44" s="6">
        <v>196.3194</v>
      </c>
      <c r="W44" s="6">
        <v>0.91200000000000003</v>
      </c>
      <c r="X44" s="6">
        <v>2162.7060000000001</v>
      </c>
      <c r="Y44" s="6">
        <v>3457.0790000000002</v>
      </c>
      <c r="Z44" s="6">
        <v>1</v>
      </c>
      <c r="AA44" s="6">
        <v>8954.9629999999997</v>
      </c>
      <c r="AB44" s="6">
        <v>6080.1480000000001</v>
      </c>
      <c r="AC44" s="6">
        <v>6118.6080000000002</v>
      </c>
      <c r="AD44" s="6">
        <v>2933.069</v>
      </c>
      <c r="AE44" s="6">
        <v>16768.259999999998</v>
      </c>
      <c r="AF44" s="6">
        <v>8.7155520000000006</v>
      </c>
      <c r="AG44" s="6">
        <v>74.886340000000004</v>
      </c>
      <c r="AH44" s="6">
        <v>22.689129999999999</v>
      </c>
      <c r="AI44" s="6">
        <v>0</v>
      </c>
      <c r="AJ44" s="6">
        <v>0</v>
      </c>
      <c r="AK44" s="6">
        <v>0</v>
      </c>
      <c r="AL44" s="6">
        <v>0</v>
      </c>
      <c r="AM44" s="5" t="s">
        <v>80</v>
      </c>
      <c r="AN44" s="5" t="s">
        <v>81</v>
      </c>
      <c r="AO44" s="5"/>
      <c r="AP44" s="6">
        <v>0.13858300000000001</v>
      </c>
      <c r="AQ44" s="6">
        <v>7.9430000000000004E-3</v>
      </c>
      <c r="AR44" s="6">
        <v>0.101075</v>
      </c>
      <c r="AS44" s="6">
        <v>3.117E-3</v>
      </c>
      <c r="AT44" s="5"/>
      <c r="AU44" s="5"/>
      <c r="AV44" s="6">
        <v>-3.9070000000000001E-2</v>
      </c>
      <c r="AW44" s="6">
        <v>4.7009000000000002E-2</v>
      </c>
      <c r="AX44" s="6">
        <v>4.8919999999999998E-2</v>
      </c>
      <c r="AY44" s="6">
        <v>0.118113</v>
      </c>
      <c r="AZ44" s="6">
        <v>1.8308000000000001E-2</v>
      </c>
      <c r="BA44" s="5"/>
      <c r="BB44" s="5"/>
      <c r="BC44" s="5"/>
      <c r="BD44" s="6">
        <v>3.2141999999999997E-2</v>
      </c>
      <c r="BE44" s="6">
        <v>2.0469999999999999E-2</v>
      </c>
      <c r="BF44" s="6">
        <v>6.3283000000000006E-2</v>
      </c>
      <c r="BG44" s="6">
        <v>6.7307000000000006E-2</v>
      </c>
      <c r="BH44" s="6">
        <v>5.2096000000000003E-2</v>
      </c>
    </row>
    <row r="45" spans="1:60" ht="15.75" customHeight="1" x14ac:dyDescent="0.2">
      <c r="A45" s="8">
        <v>2011</v>
      </c>
      <c r="B45" s="5">
        <v>50.73</v>
      </c>
      <c r="C45" s="3">
        <f>'Median Price of new US Homes'!D45</f>
        <v>224900</v>
      </c>
      <c r="D45" s="5" t="s">
        <v>79</v>
      </c>
      <c r="E45" s="6">
        <v>311442.40000000002</v>
      </c>
      <c r="F45" s="6">
        <v>190.36150000000001</v>
      </c>
      <c r="G45" s="6">
        <v>30745.46</v>
      </c>
      <c r="H45" s="6">
        <v>100.7465</v>
      </c>
      <c r="I45" s="6">
        <v>100.1835</v>
      </c>
      <c r="J45" s="6">
        <v>15599.7</v>
      </c>
      <c r="K45" s="6">
        <v>0.182757</v>
      </c>
      <c r="L45" s="6">
        <v>167.0035</v>
      </c>
      <c r="M45" s="6">
        <v>-455.29700000000003</v>
      </c>
      <c r="N45" s="6">
        <v>2695.4810000000002</v>
      </c>
      <c r="O45" s="6">
        <v>2115.864</v>
      </c>
      <c r="P45" s="6">
        <v>2603.7020000000002</v>
      </c>
      <c r="Q45" s="6">
        <v>9253.5329999999994</v>
      </c>
      <c r="R45" s="6">
        <v>0.1</v>
      </c>
      <c r="S45" s="6">
        <v>2.7858299999999998</v>
      </c>
      <c r="T45" s="6">
        <v>190.36150000000001</v>
      </c>
      <c r="U45" s="6">
        <v>8.9491999999999994</v>
      </c>
      <c r="V45" s="6">
        <v>201.5718</v>
      </c>
      <c r="W45" s="6">
        <v>0.95799999999999996</v>
      </c>
      <c r="X45" s="6">
        <v>2303.4659999999999</v>
      </c>
      <c r="Y45" s="6">
        <v>3603.056</v>
      </c>
      <c r="Z45" s="6">
        <v>1</v>
      </c>
      <c r="AA45" s="6">
        <v>9151.2469999999994</v>
      </c>
      <c r="AB45" s="6">
        <v>6102.6229999999996</v>
      </c>
      <c r="AC45" s="6">
        <v>6191.3180000000002</v>
      </c>
      <c r="AD45" s="6">
        <v>3031.6570000000002</v>
      </c>
      <c r="AE45" s="6">
        <v>17314.04</v>
      </c>
      <c r="AF45" s="6">
        <v>8.7665570000000006</v>
      </c>
      <c r="AG45" s="6">
        <v>70.648870000000002</v>
      </c>
      <c r="AH45" s="6">
        <v>19.775729999999999</v>
      </c>
      <c r="AI45" s="6">
        <v>0</v>
      </c>
      <c r="AJ45" s="6">
        <v>0</v>
      </c>
      <c r="AK45" s="6">
        <v>0</v>
      </c>
      <c r="AL45" s="6">
        <v>0</v>
      </c>
      <c r="AM45" s="5" t="s">
        <v>80</v>
      </c>
      <c r="AN45" s="5" t="s">
        <v>81</v>
      </c>
      <c r="AO45" s="5"/>
      <c r="AP45" s="6">
        <v>2.273E-2</v>
      </c>
      <c r="AQ45" s="6">
        <v>1.3651999999999999E-2</v>
      </c>
      <c r="AR45" s="6">
        <v>0.25338899999999998</v>
      </c>
      <c r="AS45" s="6">
        <v>3.0330000000000001E-3</v>
      </c>
      <c r="AT45" s="5"/>
      <c r="AU45" s="5"/>
      <c r="AV45" s="6">
        <v>-3.61E-2</v>
      </c>
      <c r="AW45" s="6">
        <v>4.9755000000000001E-2</v>
      </c>
      <c r="AX45" s="6">
        <v>5.1617999999999997E-2</v>
      </c>
      <c r="AY45" s="6">
        <v>1.4419999999999999E-3</v>
      </c>
      <c r="AZ45" s="6">
        <v>2.1257999999999999E-2</v>
      </c>
      <c r="BA45" s="5"/>
      <c r="BB45" s="5"/>
      <c r="BC45" s="5"/>
      <c r="BD45" s="6">
        <v>2.7858000000000001E-2</v>
      </c>
      <c r="BE45" s="6">
        <v>2.1288000000000001E-2</v>
      </c>
      <c r="BF45" s="6">
        <v>4.9856999999999999E-2</v>
      </c>
      <c r="BG45" s="6">
        <v>1.7578E-2</v>
      </c>
      <c r="BH45" s="6">
        <v>0.12821099999999999</v>
      </c>
    </row>
    <row r="46" spans="1:60" ht="15.75" customHeight="1" x14ac:dyDescent="0.2">
      <c r="A46" s="8">
        <v>2012</v>
      </c>
      <c r="B46" s="5">
        <v>65.05</v>
      </c>
      <c r="C46" s="3">
        <f>'Median Price of new US Homes'!D46</f>
        <v>244400</v>
      </c>
      <c r="D46" s="5" t="s">
        <v>79</v>
      </c>
      <c r="E46" s="6">
        <v>313661.8</v>
      </c>
      <c r="F46" s="6">
        <v>190.2432</v>
      </c>
      <c r="G46" s="6">
        <v>31224.22</v>
      </c>
      <c r="H46" s="6">
        <v>102.2599</v>
      </c>
      <c r="I46" s="6">
        <v>100.8111</v>
      </c>
      <c r="J46" s="6">
        <v>16254</v>
      </c>
      <c r="K46" s="6">
        <v>0.18967800000000001</v>
      </c>
      <c r="L46" s="6">
        <v>170.54069999999999</v>
      </c>
      <c r="M46" s="6">
        <v>-418.11200000000002</v>
      </c>
      <c r="N46" s="6">
        <v>2769.3180000000002</v>
      </c>
      <c r="O46" s="6">
        <v>2217.6999999999998</v>
      </c>
      <c r="P46" s="6">
        <v>2657.1239999999998</v>
      </c>
      <c r="Q46" s="6">
        <v>10047.92</v>
      </c>
      <c r="R46" s="6">
        <v>0.14000000000000001</v>
      </c>
      <c r="S46" s="6">
        <v>1.8025</v>
      </c>
      <c r="T46" s="6">
        <v>190.2432</v>
      </c>
      <c r="U46" s="6">
        <v>8.0693999999999999</v>
      </c>
      <c r="V46" s="6">
        <v>207.10050000000001</v>
      </c>
      <c r="W46" s="6">
        <v>1</v>
      </c>
      <c r="X46" s="6">
        <v>2449.9879999999998</v>
      </c>
      <c r="Y46" s="6">
        <v>3536.951</v>
      </c>
      <c r="Z46" s="6">
        <v>1</v>
      </c>
      <c r="AA46" s="6">
        <v>9444.2109999999993</v>
      </c>
      <c r="AB46" s="6">
        <v>6141.26</v>
      </c>
      <c r="AC46" s="6">
        <v>6268.85</v>
      </c>
      <c r="AD46" s="6">
        <v>3273.6170000000002</v>
      </c>
      <c r="AE46" s="6">
        <v>18286.45</v>
      </c>
      <c r="AF46" s="6">
        <v>8.7390779999999992</v>
      </c>
      <c r="AG46" s="6">
        <v>68.857200000000006</v>
      </c>
      <c r="AH46" s="6">
        <v>18.05057</v>
      </c>
      <c r="AI46" s="6">
        <v>0</v>
      </c>
      <c r="AJ46" s="6">
        <v>0</v>
      </c>
      <c r="AK46" s="6">
        <v>0</v>
      </c>
      <c r="AL46" s="6">
        <v>0</v>
      </c>
      <c r="AM46" s="5" t="s">
        <v>80</v>
      </c>
      <c r="AN46" s="5" t="s">
        <v>81</v>
      </c>
      <c r="AO46" s="5"/>
      <c r="AP46" s="6">
        <v>0.16908000000000001</v>
      </c>
      <c r="AQ46" s="6">
        <v>5.2102999999999997E-2</v>
      </c>
      <c r="AR46" s="6">
        <v>3.2299000000000001E-2</v>
      </c>
      <c r="AS46" s="6">
        <v>2.8249999999999998E-3</v>
      </c>
      <c r="AT46" s="5"/>
      <c r="AU46" s="5"/>
      <c r="AV46" s="6">
        <v>-6.3000000000000003E-4</v>
      </c>
      <c r="AW46" s="6">
        <v>5.2728999999999998E-2</v>
      </c>
      <c r="AX46" s="6">
        <v>5.2762000000000003E-2</v>
      </c>
      <c r="AY46" s="6">
        <v>0.14394499999999999</v>
      </c>
      <c r="AZ46" s="6">
        <v>2.1971999999999998E-2</v>
      </c>
      <c r="BA46" s="5"/>
      <c r="BB46" s="5"/>
      <c r="BC46" s="5"/>
      <c r="BD46" s="6">
        <v>1.8024999999999999E-2</v>
      </c>
      <c r="BE46" s="6">
        <v>2.5134E-2</v>
      </c>
      <c r="BF46" s="6">
        <v>8.0517000000000005E-2</v>
      </c>
      <c r="BG46" s="6">
        <v>0.105332</v>
      </c>
      <c r="BH46" s="6">
        <v>1.7562000000000001E-2</v>
      </c>
    </row>
    <row r="47" spans="1:60" ht="15.75" customHeight="1" x14ac:dyDescent="0.2">
      <c r="A47" s="8">
        <v>2013</v>
      </c>
      <c r="B47" s="5">
        <v>77.08</v>
      </c>
      <c r="C47" s="3">
        <f>'Median Price of new US Homes'!D47</f>
        <v>266225</v>
      </c>
      <c r="D47" s="5" t="s">
        <v>79</v>
      </c>
      <c r="E47" s="6">
        <v>315822.3</v>
      </c>
      <c r="F47" s="6">
        <v>204.31720000000001</v>
      </c>
      <c r="G47" s="6">
        <v>31581.71</v>
      </c>
      <c r="H47" s="6">
        <v>103.4246</v>
      </c>
      <c r="I47" s="6">
        <v>101.6044</v>
      </c>
      <c r="J47" s="6">
        <v>16843.2</v>
      </c>
      <c r="K47" s="6">
        <v>0.19208600000000001</v>
      </c>
      <c r="L47" s="6">
        <v>173.06720000000001</v>
      </c>
      <c r="M47" s="6">
        <v>-339.45499999999998</v>
      </c>
      <c r="N47" s="6">
        <v>2766.3760000000002</v>
      </c>
      <c r="O47" s="6">
        <v>2286.9810000000002</v>
      </c>
      <c r="P47" s="6">
        <v>3685.277</v>
      </c>
      <c r="Q47" s="6">
        <v>10724.86</v>
      </c>
      <c r="R47" s="6">
        <v>0.11</v>
      </c>
      <c r="S47" s="6">
        <v>2.3508300000000002</v>
      </c>
      <c r="T47" s="6">
        <v>204.31720000000001</v>
      </c>
      <c r="U47" s="6">
        <v>7.3749000000000002</v>
      </c>
      <c r="V47" s="6">
        <v>208.91050000000001</v>
      </c>
      <c r="W47" s="6">
        <v>1.0069999999999999</v>
      </c>
      <c r="X47" s="6">
        <v>2775.1030000000001</v>
      </c>
      <c r="Y47" s="6">
        <v>3454.6469999999999</v>
      </c>
      <c r="Z47" s="6">
        <v>1</v>
      </c>
      <c r="AA47" s="6">
        <v>9730.2000000000007</v>
      </c>
      <c r="AB47" s="6">
        <v>6255</v>
      </c>
      <c r="AC47" s="6">
        <v>6246.1840000000002</v>
      </c>
      <c r="AD47" s="6">
        <v>3487.4</v>
      </c>
      <c r="AE47" s="6">
        <v>19180.23</v>
      </c>
      <c r="AF47" s="6">
        <v>9.0803170000000009</v>
      </c>
      <c r="AG47" s="6">
        <v>68.532290000000003</v>
      </c>
      <c r="AH47" s="6">
        <v>16.456040000000002</v>
      </c>
      <c r="AI47" s="6">
        <v>0</v>
      </c>
      <c r="AJ47" s="6">
        <v>0</v>
      </c>
      <c r="AK47" s="6">
        <v>0</v>
      </c>
      <c r="AL47" s="6">
        <v>0</v>
      </c>
      <c r="AM47" s="5" t="s">
        <v>80</v>
      </c>
      <c r="AN47" s="5" t="s">
        <v>81</v>
      </c>
      <c r="AO47" s="5"/>
      <c r="AP47" s="6">
        <v>0.29563600000000001</v>
      </c>
      <c r="AQ47" s="6">
        <v>0.12796299999999999</v>
      </c>
      <c r="AR47" s="6">
        <v>-0.13242000000000001</v>
      </c>
      <c r="AS47" s="6">
        <v>2.0830000000000002E-3</v>
      </c>
      <c r="AT47" s="5"/>
      <c r="AU47" s="5"/>
      <c r="AV47" s="6">
        <v>7.3980000000000004E-2</v>
      </c>
      <c r="AW47" s="6">
        <v>5.3983000000000003E-2</v>
      </c>
      <c r="AX47" s="6">
        <v>5.0264000000000003E-2</v>
      </c>
      <c r="AY47" s="6">
        <v>0.27103500000000003</v>
      </c>
      <c r="AZ47" s="6">
        <v>1.9355000000000001E-2</v>
      </c>
      <c r="BA47" s="5"/>
      <c r="BB47" s="5"/>
      <c r="BC47" s="5"/>
      <c r="BD47" s="6">
        <v>2.3508000000000001E-2</v>
      </c>
      <c r="BE47" s="6">
        <v>2.4601000000000001E-2</v>
      </c>
      <c r="BF47" s="6">
        <v>0.139843</v>
      </c>
      <c r="BG47" s="6">
        <v>0.21240500000000001</v>
      </c>
      <c r="BH47" s="6">
        <v>-6.5170000000000006E-2</v>
      </c>
    </row>
    <row r="48" spans="1:60" ht="15.75" customHeight="1" x14ac:dyDescent="0.2">
      <c r="A48" s="8">
        <v>2014</v>
      </c>
      <c r="B48" s="5">
        <v>83.78</v>
      </c>
      <c r="C48" s="3">
        <f>'Median Price of new US Homes'!D48</f>
        <v>285775</v>
      </c>
      <c r="D48" s="5" t="s">
        <v>79</v>
      </c>
      <c r="E48" s="6">
        <v>318106.59999999998</v>
      </c>
      <c r="F48" s="6">
        <v>214.7139</v>
      </c>
      <c r="G48" s="6">
        <v>32072.18</v>
      </c>
      <c r="H48" s="6">
        <v>105.2623</v>
      </c>
      <c r="I48" s="6">
        <v>103.5932</v>
      </c>
      <c r="J48" s="6">
        <v>17550.7</v>
      </c>
      <c r="K48" s="6">
        <v>0.196377</v>
      </c>
      <c r="L48" s="6">
        <v>175.99799999999999</v>
      </c>
      <c r="M48" s="6">
        <v>-369.97800000000001</v>
      </c>
      <c r="N48" s="6">
        <v>2887.4450000000002</v>
      </c>
      <c r="O48" s="6">
        <v>2377.4079999999999</v>
      </c>
      <c r="P48" s="6">
        <v>3898.4969999999998</v>
      </c>
      <c r="Q48" s="6">
        <v>11387.04</v>
      </c>
      <c r="R48" s="6">
        <v>0.09</v>
      </c>
      <c r="S48" s="6">
        <v>2.5408330000000001</v>
      </c>
      <c r="T48" s="6">
        <v>214.7139</v>
      </c>
      <c r="U48" s="6">
        <v>6.1675000000000004</v>
      </c>
      <c r="V48" s="6">
        <v>215.13480000000001</v>
      </c>
      <c r="W48" s="6">
        <v>1.026</v>
      </c>
      <c r="X48" s="6">
        <v>3021.4870000000001</v>
      </c>
      <c r="Y48" s="6">
        <v>3506.114</v>
      </c>
      <c r="Z48" s="6">
        <v>1</v>
      </c>
      <c r="AA48" s="6">
        <v>10273.200000000001</v>
      </c>
      <c r="AB48" s="6">
        <v>6461.2</v>
      </c>
      <c r="AC48" s="6">
        <v>6455.9920000000002</v>
      </c>
      <c r="AD48" s="6">
        <v>3836.5</v>
      </c>
      <c r="AE48" s="6">
        <v>20451.580000000002</v>
      </c>
      <c r="AF48" s="6">
        <v>9.1254899999999992</v>
      </c>
      <c r="AG48" s="6">
        <v>68.764290000000003</v>
      </c>
      <c r="AH48" s="6">
        <v>16.838830000000002</v>
      </c>
      <c r="AI48" s="6">
        <v>0</v>
      </c>
      <c r="AJ48" s="6">
        <v>0</v>
      </c>
      <c r="AK48" s="6">
        <v>0</v>
      </c>
      <c r="AL48" s="6">
        <v>0</v>
      </c>
      <c r="AM48" s="5" t="s">
        <v>80</v>
      </c>
      <c r="AN48" s="5" t="s">
        <v>81</v>
      </c>
      <c r="AO48" s="5"/>
      <c r="AP48" s="6">
        <v>0.158166</v>
      </c>
      <c r="AQ48" s="6">
        <v>0.10632800000000001</v>
      </c>
      <c r="AR48" s="6">
        <v>0.243897</v>
      </c>
      <c r="AS48" s="6">
        <v>8.9999999999999998E-4</v>
      </c>
      <c r="AT48" s="5"/>
      <c r="AU48" s="5"/>
      <c r="AV48" s="6">
        <v>5.4649999999999997E-2</v>
      </c>
      <c r="AW48" s="6">
        <v>5.1678000000000002E-2</v>
      </c>
      <c r="AX48" s="6">
        <v>4.9000000000000002E-2</v>
      </c>
      <c r="AY48" s="6">
        <v>0.13635</v>
      </c>
      <c r="AZ48" s="6">
        <v>1.9199000000000001E-2</v>
      </c>
      <c r="BA48" s="5"/>
      <c r="BB48" s="5"/>
      <c r="BC48" s="5"/>
      <c r="BD48" s="6">
        <v>2.5408E-2</v>
      </c>
      <c r="BE48" s="6">
        <v>2.1817E-2</v>
      </c>
      <c r="BF48" s="6">
        <v>0.13006300000000001</v>
      </c>
      <c r="BG48" s="6">
        <v>0.13272900000000001</v>
      </c>
      <c r="BH48" s="6">
        <v>0.12239800000000001</v>
      </c>
    </row>
    <row r="49" spans="1:60" ht="15.75" customHeight="1" x14ac:dyDescent="0.2">
      <c r="A49" s="8">
        <v>2015</v>
      </c>
      <c r="B49" s="5">
        <v>92.66</v>
      </c>
      <c r="C49" s="3">
        <f>'Median Price of new US Homes'!D49</f>
        <v>294150</v>
      </c>
      <c r="D49" s="5" t="s">
        <v>79</v>
      </c>
      <c r="E49" s="6">
        <v>320409.90000000002</v>
      </c>
      <c r="F49" s="6">
        <v>226.0146</v>
      </c>
      <c r="G49" s="6">
        <v>32703.49</v>
      </c>
      <c r="H49" s="6">
        <v>107.7038</v>
      </c>
      <c r="I49" s="6">
        <v>106.20569999999999</v>
      </c>
      <c r="J49" s="6">
        <v>18206</v>
      </c>
      <c r="K49" s="6">
        <v>0.19830100000000001</v>
      </c>
      <c r="L49" s="6">
        <v>176.30119999999999</v>
      </c>
      <c r="M49" s="6">
        <v>-408.88400000000001</v>
      </c>
      <c r="N49" s="6">
        <v>2794.85</v>
      </c>
      <c r="O49" s="6">
        <v>2268.6509999999998</v>
      </c>
      <c r="P49" s="6">
        <v>3816.0619999999999</v>
      </c>
      <c r="Q49" s="6">
        <v>12043.53</v>
      </c>
      <c r="R49" s="6">
        <v>0.13</v>
      </c>
      <c r="S49" s="6">
        <v>2.1358329999999999</v>
      </c>
      <c r="T49" s="6">
        <v>226.0146</v>
      </c>
      <c r="U49" s="6">
        <v>5.28</v>
      </c>
      <c r="V49" s="6">
        <v>221.0565</v>
      </c>
      <c r="W49" s="6">
        <v>1.0009999999999999</v>
      </c>
      <c r="X49" s="6">
        <v>3249.886</v>
      </c>
      <c r="Y49" s="6">
        <v>3688.2919999999999</v>
      </c>
      <c r="Z49" s="6">
        <v>1</v>
      </c>
      <c r="AA49" s="6">
        <v>10986.9</v>
      </c>
      <c r="AB49" s="6">
        <v>6735</v>
      </c>
      <c r="AC49" s="6">
        <v>6805.0010000000002</v>
      </c>
      <c r="AD49" s="6">
        <v>4181.8159999999998</v>
      </c>
      <c r="AE49" s="6">
        <v>21845.43</v>
      </c>
      <c r="AF49" s="6">
        <v>9.3226370000000003</v>
      </c>
      <c r="AG49" s="6">
        <v>71.058639999999997</v>
      </c>
      <c r="AH49" s="6">
        <v>15.958410000000001</v>
      </c>
      <c r="AI49" s="6">
        <v>0</v>
      </c>
      <c r="AJ49" s="6">
        <v>0</v>
      </c>
      <c r="AK49" s="6">
        <v>0</v>
      </c>
      <c r="AL49" s="6">
        <v>0</v>
      </c>
      <c r="AM49" s="5" t="s">
        <v>80</v>
      </c>
      <c r="AN49" s="5" t="s">
        <v>81</v>
      </c>
      <c r="AO49" s="5"/>
      <c r="AP49" s="6">
        <v>2.1028999999999999E-2</v>
      </c>
      <c r="AQ49" s="6">
        <v>0.106479</v>
      </c>
      <c r="AR49" s="6">
        <v>-1.8859999999999998E-2</v>
      </c>
      <c r="AS49" s="6">
        <v>1.2999999999999999E-3</v>
      </c>
      <c r="AT49" s="5"/>
      <c r="AU49" s="5"/>
      <c r="AV49" s="6">
        <v>5.5978E-2</v>
      </c>
      <c r="AW49" s="6">
        <v>5.0500999999999997E-2</v>
      </c>
      <c r="AX49" s="6">
        <v>4.7823999999999998E-2</v>
      </c>
      <c r="AY49" s="9">
        <v>-9.2E-5</v>
      </c>
      <c r="AZ49" s="6">
        <v>2.1124E-2</v>
      </c>
      <c r="BA49" s="5"/>
      <c r="BB49" s="5"/>
      <c r="BC49" s="5"/>
      <c r="BD49" s="6">
        <v>2.1357999999999999E-2</v>
      </c>
      <c r="BE49" s="6">
        <v>2.1121999999999998E-2</v>
      </c>
      <c r="BF49" s="6">
        <v>4.6192999999999998E-2</v>
      </c>
      <c r="BG49" s="6">
        <v>6.5433000000000005E-2</v>
      </c>
      <c r="BH49" s="6">
        <v>-8.7799999999999996E-3</v>
      </c>
    </row>
    <row r="50" spans="1:60" ht="15.75" customHeight="1" x14ac:dyDescent="0.2">
      <c r="A50" s="8">
        <v>2016</v>
      </c>
      <c r="B50" s="5">
        <v>97.81</v>
      </c>
      <c r="C50" s="3">
        <f>'Median Price of new US Homes'!D50</f>
        <v>305125</v>
      </c>
      <c r="D50" s="5" t="s">
        <v>79</v>
      </c>
      <c r="E50" s="6">
        <v>322701.2</v>
      </c>
      <c r="F50" s="6">
        <v>238.75579999999999</v>
      </c>
      <c r="G50" s="6">
        <v>33012.769999999997</v>
      </c>
      <c r="H50" s="6">
        <v>108.756</v>
      </c>
      <c r="I50" s="6">
        <v>108.0518</v>
      </c>
      <c r="J50" s="6">
        <v>18695.099999999999</v>
      </c>
      <c r="K50" s="6">
        <v>0.19583100000000001</v>
      </c>
      <c r="L50" s="6">
        <v>178.57499999999999</v>
      </c>
      <c r="M50" s="6">
        <v>-397.57299999999998</v>
      </c>
      <c r="N50" s="6">
        <v>2738.3589999999999</v>
      </c>
      <c r="O50" s="6">
        <v>2232.11</v>
      </c>
      <c r="P50" s="6">
        <v>3509.7530000000002</v>
      </c>
      <c r="Q50" s="6">
        <v>12860.23</v>
      </c>
      <c r="R50" s="6">
        <v>0.39</v>
      </c>
      <c r="S50" s="6">
        <v>1.8416669999999999</v>
      </c>
      <c r="T50" s="6">
        <v>238.75579999999999</v>
      </c>
      <c r="U50" s="6">
        <v>4.8692000000000002</v>
      </c>
      <c r="V50" s="6">
        <v>223.70769999999999</v>
      </c>
      <c r="W50" s="6">
        <v>1.052</v>
      </c>
      <c r="X50" s="6">
        <v>3267.9609999999998</v>
      </c>
      <c r="Y50" s="6">
        <v>3852.6120000000001</v>
      </c>
      <c r="Z50" s="6">
        <v>1</v>
      </c>
      <c r="AA50" s="6">
        <v>11698.2</v>
      </c>
      <c r="AB50" s="6">
        <v>7146.1</v>
      </c>
      <c r="AC50" s="6">
        <v>7202.7659999999996</v>
      </c>
      <c r="AD50" s="6">
        <v>4495.5280000000002</v>
      </c>
      <c r="AE50" s="6">
        <v>23020.06</v>
      </c>
      <c r="AF50" s="6">
        <v>9.2780509999999996</v>
      </c>
      <c r="AG50" s="6">
        <v>70.908550000000005</v>
      </c>
      <c r="AH50" s="6">
        <v>15.484299999999999</v>
      </c>
      <c r="AI50" s="6">
        <v>0</v>
      </c>
      <c r="AJ50" s="6">
        <v>0</v>
      </c>
      <c r="AK50" s="6">
        <v>0</v>
      </c>
      <c r="AL50" s="6">
        <v>0</v>
      </c>
      <c r="AM50" s="5" t="s">
        <v>80</v>
      </c>
      <c r="AN50" s="5" t="s">
        <v>81</v>
      </c>
      <c r="AO50" s="5"/>
      <c r="AP50" s="6">
        <v>3.6492999999999998E-2</v>
      </c>
      <c r="AQ50" s="6">
        <v>0.107928</v>
      </c>
      <c r="AR50" s="6">
        <v>2.2780000000000001E-3</v>
      </c>
      <c r="AS50" s="6">
        <v>4.0000000000000001E-3</v>
      </c>
      <c r="AT50" s="5"/>
      <c r="AU50" s="5"/>
      <c r="AV50" s="6">
        <v>5.8299999999999998E-2</v>
      </c>
      <c r="AW50" s="6">
        <v>4.9626999999999998E-2</v>
      </c>
      <c r="AX50" s="6">
        <v>4.6893999999999998E-2</v>
      </c>
      <c r="AY50" s="6">
        <v>1.4867999999999999E-2</v>
      </c>
      <c r="AZ50" s="6">
        <v>2.1309000000000002E-2</v>
      </c>
      <c r="BA50" s="5"/>
      <c r="BB50" s="5"/>
      <c r="BC50" s="5"/>
      <c r="BD50" s="6">
        <v>1.8416999999999999E-2</v>
      </c>
      <c r="BE50" s="6">
        <v>2.1625999999999999E-2</v>
      </c>
      <c r="BF50" s="6">
        <v>4.8536000000000003E-2</v>
      </c>
      <c r="BG50" s="6">
        <v>6.7177000000000001E-2</v>
      </c>
      <c r="BH50" s="6">
        <v>3.1389999999999999E-3</v>
      </c>
    </row>
    <row r="51" spans="1:60" ht="15.75" customHeight="1" x14ac:dyDescent="0.2">
      <c r="A51" s="8">
        <v>2017</v>
      </c>
      <c r="B51" s="5">
        <v>100.24</v>
      </c>
      <c r="C51" s="3">
        <f>'Median Price of new US Homes'!D51</f>
        <v>322425</v>
      </c>
      <c r="D51" s="5" t="s">
        <v>79</v>
      </c>
      <c r="E51" s="6">
        <v>324756.90000000002</v>
      </c>
      <c r="F51" s="6">
        <v>253.52209999999999</v>
      </c>
      <c r="G51" s="6">
        <v>33543.68</v>
      </c>
      <c r="H51" s="6">
        <v>110.5911</v>
      </c>
      <c r="I51" s="6">
        <v>109.97799999999999</v>
      </c>
      <c r="J51" s="6">
        <v>19479.599999999999</v>
      </c>
      <c r="K51" s="6">
        <v>0.20454700000000001</v>
      </c>
      <c r="L51" s="6">
        <v>182.41540000000001</v>
      </c>
      <c r="M51" s="6">
        <v>-361.702</v>
      </c>
      <c r="N51" s="6">
        <v>2923.6909999999998</v>
      </c>
      <c r="O51" s="6">
        <v>2383.7579999999998</v>
      </c>
      <c r="P51" s="6">
        <v>3823.7080000000001</v>
      </c>
      <c r="Q51" s="6">
        <v>13592.47</v>
      </c>
      <c r="R51" s="6">
        <v>1</v>
      </c>
      <c r="S51" s="6">
        <v>2.33</v>
      </c>
      <c r="T51" s="6">
        <v>253.52209999999999</v>
      </c>
      <c r="U51" s="6">
        <v>4.3552</v>
      </c>
      <c r="V51" s="6">
        <v>230.1207</v>
      </c>
      <c r="W51" s="6">
        <v>1.046</v>
      </c>
      <c r="X51" s="6">
        <v>3316.1819999999998</v>
      </c>
      <c r="Y51" s="6">
        <v>3981.6280000000002</v>
      </c>
      <c r="Z51" s="6">
        <v>1</v>
      </c>
      <c r="AA51" s="6">
        <v>12263.2</v>
      </c>
      <c r="AB51" s="6">
        <v>7479.9</v>
      </c>
      <c r="AC51" s="6">
        <v>7539.1869999999999</v>
      </c>
      <c r="AD51" s="6">
        <v>4724.152</v>
      </c>
      <c r="AE51" s="6">
        <v>24702.21</v>
      </c>
      <c r="AF51" s="6">
        <v>9.3496509999999997</v>
      </c>
      <c r="AG51" s="6">
        <v>71.369420000000005</v>
      </c>
      <c r="AH51" s="6">
        <v>15.200240000000001</v>
      </c>
      <c r="AI51" s="6">
        <v>0</v>
      </c>
      <c r="AJ51" s="6">
        <v>0</v>
      </c>
      <c r="AK51" s="6">
        <v>0</v>
      </c>
      <c r="AL51" s="6">
        <v>0</v>
      </c>
      <c r="AM51" s="5" t="s">
        <v>80</v>
      </c>
      <c r="AN51" s="5" t="s">
        <v>81</v>
      </c>
      <c r="AO51" s="5"/>
      <c r="AP51" s="6">
        <v>0.193025</v>
      </c>
      <c r="AQ51" s="6">
        <v>0.113071</v>
      </c>
      <c r="AR51" s="6">
        <v>2.5166999999999998E-2</v>
      </c>
      <c r="AS51" s="6">
        <v>0.01</v>
      </c>
      <c r="AT51" s="5"/>
      <c r="AU51" s="5"/>
      <c r="AV51" s="6">
        <v>6.4388000000000001E-2</v>
      </c>
      <c r="AW51" s="6">
        <v>4.8682000000000003E-2</v>
      </c>
      <c r="AX51" s="6">
        <v>4.5737E-2</v>
      </c>
      <c r="AY51" s="6">
        <v>0.17036299999999999</v>
      </c>
      <c r="AZ51" s="6">
        <v>1.9362999999999998E-2</v>
      </c>
      <c r="BA51" s="5"/>
      <c r="BB51" s="5"/>
      <c r="BC51" s="5"/>
      <c r="BD51" s="6">
        <v>2.3300000000000001E-2</v>
      </c>
      <c r="BE51" s="6">
        <v>2.2662000000000002E-2</v>
      </c>
      <c r="BF51" s="6">
        <v>0.121381</v>
      </c>
      <c r="BG51" s="6">
        <v>0.160881</v>
      </c>
      <c r="BH51" s="6">
        <v>1.7583999999999999E-2</v>
      </c>
    </row>
    <row r="52" spans="1:60" ht="15.75" customHeight="1" x14ac:dyDescent="0.2">
      <c r="A52" s="8">
        <v>2018</v>
      </c>
      <c r="B52" s="5">
        <v>104.17</v>
      </c>
      <c r="C52" s="3">
        <f>'Median Price of new US Homes'!D52</f>
        <v>325275</v>
      </c>
      <c r="D52" s="5" t="s">
        <v>79</v>
      </c>
      <c r="E52" s="6">
        <v>326497.09999999998</v>
      </c>
      <c r="F52" s="6">
        <v>269.28129999999999</v>
      </c>
      <c r="G52" s="6">
        <v>34338.769999999997</v>
      </c>
      <c r="H52" s="6">
        <v>113.3069</v>
      </c>
      <c r="I52" s="6">
        <v>112.5673</v>
      </c>
      <c r="J52" s="6">
        <v>20527.2</v>
      </c>
      <c r="K52" s="6">
        <v>0.20858599999999999</v>
      </c>
      <c r="L52" s="6">
        <v>186.8621</v>
      </c>
      <c r="M52" s="6">
        <v>-438.24099999999999</v>
      </c>
      <c r="N52" s="6">
        <v>3129.6970000000001</v>
      </c>
      <c r="O52" s="6">
        <v>2533.5120000000002</v>
      </c>
      <c r="P52" s="6">
        <v>3372.9110000000001</v>
      </c>
      <c r="Q52" s="6">
        <v>14116.53</v>
      </c>
      <c r="R52" s="6">
        <v>1.83</v>
      </c>
      <c r="S52" s="6">
        <v>2.91</v>
      </c>
      <c r="T52" s="6">
        <v>269.28129999999999</v>
      </c>
      <c r="U52" s="6">
        <v>3.8956</v>
      </c>
      <c r="V52" s="6">
        <v>237.50659999999999</v>
      </c>
      <c r="W52" s="6">
        <v>1.054</v>
      </c>
      <c r="X52" s="6">
        <v>3329.9070000000002</v>
      </c>
      <c r="Y52" s="6">
        <v>4109.0439999999999</v>
      </c>
      <c r="Z52" s="6">
        <v>1</v>
      </c>
      <c r="AA52" s="6">
        <v>12814.85</v>
      </c>
      <c r="AB52" s="6">
        <v>7662.8689999999997</v>
      </c>
      <c r="AC52" s="6">
        <v>7748.29</v>
      </c>
      <c r="AD52" s="6">
        <v>5066.5609999999997</v>
      </c>
      <c r="AE52" s="6">
        <v>26289.54</v>
      </c>
      <c r="AF52" s="6">
        <v>9.3915400000000009</v>
      </c>
      <c r="AG52" s="6">
        <v>72.055009999999996</v>
      </c>
      <c r="AH52" s="6">
        <v>14.785629999999999</v>
      </c>
      <c r="AI52" s="6">
        <v>0</v>
      </c>
      <c r="AJ52" s="6">
        <v>0</v>
      </c>
      <c r="AK52" s="6">
        <v>0</v>
      </c>
      <c r="AL52" s="6">
        <v>0</v>
      </c>
      <c r="AM52" s="5" t="s">
        <v>80</v>
      </c>
      <c r="AN52" s="5" t="s">
        <v>81</v>
      </c>
      <c r="AO52" s="5"/>
      <c r="AP52" s="6">
        <v>0.14207500000000001</v>
      </c>
      <c r="AQ52" s="6">
        <v>0.11293</v>
      </c>
      <c r="AR52" s="6">
        <v>-1.7139999999999999E-2</v>
      </c>
      <c r="AS52" s="6">
        <v>1.83E-2</v>
      </c>
      <c r="AT52" s="5"/>
      <c r="AU52" s="5"/>
      <c r="AV52" s="6">
        <v>6.5539E-2</v>
      </c>
      <c r="AW52" s="6">
        <v>4.7391999999999997E-2</v>
      </c>
      <c r="AX52" s="6">
        <v>4.4477000000000003E-2</v>
      </c>
      <c r="AY52" s="6">
        <v>0.12109300000000001</v>
      </c>
      <c r="AZ52" s="6">
        <v>1.8716E-2</v>
      </c>
      <c r="BA52" s="5"/>
      <c r="BB52" s="5"/>
      <c r="BC52" s="5"/>
      <c r="BD52" s="6">
        <v>2.9100000000000001E-2</v>
      </c>
      <c r="BE52" s="6">
        <v>2.0982000000000001E-2</v>
      </c>
      <c r="BF52" s="6">
        <v>9.221E-2</v>
      </c>
      <c r="BG52" s="6">
        <v>0.12958500000000001</v>
      </c>
      <c r="BH52" s="6">
        <v>5.8100000000000003E-4</v>
      </c>
    </row>
    <row r="53" spans="1:60" ht="15.75" customHeight="1" x14ac:dyDescent="0.2">
      <c r="A53" s="8">
        <v>2019</v>
      </c>
      <c r="B53" s="5">
        <v>107.49</v>
      </c>
      <c r="C53" s="3">
        <f>'Median Price of new US Homes'!D53</f>
        <v>320250</v>
      </c>
      <c r="D53" s="5" t="s">
        <v>79</v>
      </c>
      <c r="E53" s="6">
        <v>328018.7</v>
      </c>
      <c r="F53" s="6">
        <v>282.9864</v>
      </c>
      <c r="G53" s="6">
        <v>34961.839999999997</v>
      </c>
      <c r="H53" s="6">
        <v>115.22969999999999</v>
      </c>
      <c r="I53" s="6">
        <v>114.5095</v>
      </c>
      <c r="J53" s="6">
        <v>21372.6</v>
      </c>
      <c r="K53" s="6">
        <v>0.210205</v>
      </c>
      <c r="L53" s="6">
        <v>190.24760000000001</v>
      </c>
      <c r="M53" s="6">
        <v>-472.14499999999998</v>
      </c>
      <c r="N53" s="6">
        <v>3115.99</v>
      </c>
      <c r="O53" s="6">
        <v>2519.7269999999999</v>
      </c>
      <c r="P53" s="6">
        <v>3426.5</v>
      </c>
      <c r="Q53" s="6">
        <v>14836.53</v>
      </c>
      <c r="R53" s="6">
        <v>2.16</v>
      </c>
      <c r="S53" s="6">
        <v>2.1441669999999999</v>
      </c>
      <c r="T53" s="6">
        <v>282.9864</v>
      </c>
      <c r="U53" s="6">
        <v>2</v>
      </c>
      <c r="V53" s="6">
        <v>245.02979999999999</v>
      </c>
      <c r="W53" s="6">
        <v>1.0680000000000001</v>
      </c>
      <c r="X53" s="6">
        <v>3463.364</v>
      </c>
      <c r="Y53" s="6">
        <v>4446.9560000000001</v>
      </c>
      <c r="Z53" s="6">
        <v>1</v>
      </c>
      <c r="AA53" s="6">
        <v>13455.43</v>
      </c>
      <c r="AB53" s="6">
        <v>8088.8190000000004</v>
      </c>
      <c r="AC53" s="6">
        <v>8138.4470000000001</v>
      </c>
      <c r="AD53" s="6">
        <v>5316.98</v>
      </c>
      <c r="AE53" s="6">
        <v>27560.98</v>
      </c>
      <c r="AF53" s="6">
        <v>9.3153190000000006</v>
      </c>
      <c r="AG53" s="6">
        <v>71.251310000000004</v>
      </c>
      <c r="AH53" s="6">
        <v>14.108980000000001</v>
      </c>
      <c r="AI53" s="6">
        <v>0</v>
      </c>
      <c r="AJ53" s="6">
        <v>0</v>
      </c>
      <c r="AK53" s="6">
        <v>0</v>
      </c>
      <c r="AL53" s="6">
        <v>0</v>
      </c>
      <c r="AM53" s="5" t="s">
        <v>80</v>
      </c>
      <c r="AN53" s="5" t="s">
        <v>81</v>
      </c>
      <c r="AO53" s="5"/>
      <c r="AP53" s="6">
        <v>8.1637000000000001E-2</v>
      </c>
      <c r="AQ53" s="6">
        <v>8.9285000000000003E-2</v>
      </c>
      <c r="AR53" s="6">
        <v>0.118668</v>
      </c>
      <c r="AS53" s="6">
        <v>2.1600000000000001E-2</v>
      </c>
      <c r="AT53" s="5"/>
      <c r="AU53" s="5"/>
      <c r="AV53" s="6">
        <v>4.3159999999999997E-2</v>
      </c>
      <c r="AW53" s="6">
        <v>4.6124999999999999E-2</v>
      </c>
      <c r="AX53" s="6">
        <v>4.4216999999999999E-2</v>
      </c>
      <c r="AY53" s="6">
        <v>6.1143999999999997E-2</v>
      </c>
      <c r="AZ53" s="6">
        <v>1.9311999999999999E-2</v>
      </c>
      <c r="BA53" s="5"/>
      <c r="BB53" s="5"/>
      <c r="BC53" s="5"/>
      <c r="BD53" s="6">
        <v>2.1441999999999999E-2</v>
      </c>
      <c r="BE53" s="6">
        <v>2.0492E-2</v>
      </c>
      <c r="BF53" s="6">
        <v>8.0605999999999997E-2</v>
      </c>
      <c r="BG53" s="6">
        <v>8.4776000000000004E-2</v>
      </c>
      <c r="BH53" s="6">
        <v>7.0134000000000002E-2</v>
      </c>
    </row>
    <row r="54" spans="1:60" ht="12.75" x14ac:dyDescent="0.2">
      <c r="A54" s="8">
        <v>2020</v>
      </c>
      <c r="B54" s="5">
        <v>114.97</v>
      </c>
      <c r="C54" s="3">
        <f>'Median Price of new US Homes'!D54</f>
        <v>336950</v>
      </c>
      <c r="D54" s="5" t="s">
        <v>79</v>
      </c>
      <c r="E54" s="6">
        <v>329239.7</v>
      </c>
      <c r="F54" s="6">
        <v>305.22149999999999</v>
      </c>
      <c r="G54" s="6">
        <v>33646.26</v>
      </c>
      <c r="H54" s="6">
        <v>110.82299999999999</v>
      </c>
      <c r="I54" s="6">
        <v>109.7932</v>
      </c>
      <c r="J54" s="6">
        <v>20893.7</v>
      </c>
      <c r="K54" s="6">
        <v>0.214368</v>
      </c>
      <c r="L54" s="6">
        <v>192.6225</v>
      </c>
      <c r="M54" s="6">
        <v>-616.08699999999999</v>
      </c>
      <c r="N54" s="6">
        <v>2774.5970000000002</v>
      </c>
      <c r="O54" s="6">
        <v>2123.4110000000001</v>
      </c>
      <c r="P54" s="6">
        <v>5206.5</v>
      </c>
      <c r="Q54" s="6">
        <v>17677.43</v>
      </c>
      <c r="R54" s="6">
        <v>0.37</v>
      </c>
      <c r="S54" s="6">
        <v>0.89416700000000005</v>
      </c>
      <c r="T54" s="6">
        <v>305.22149999999999</v>
      </c>
      <c r="U54" s="6">
        <v>8.0500000000000007</v>
      </c>
      <c r="V54" s="6">
        <v>259.18029999999999</v>
      </c>
      <c r="W54" s="6">
        <v>1.2809999999999999</v>
      </c>
      <c r="X54" s="6">
        <v>3421.1619999999998</v>
      </c>
      <c r="Y54" s="6">
        <v>6550.3959999999997</v>
      </c>
      <c r="Z54" s="6">
        <v>1</v>
      </c>
      <c r="AA54" s="6">
        <v>14528.9</v>
      </c>
      <c r="AB54" s="6">
        <v>8896.7530000000006</v>
      </c>
      <c r="AC54" s="6">
        <v>8682.2479999999996</v>
      </c>
      <c r="AD54" s="6">
        <v>5846.6469999999999</v>
      </c>
      <c r="AE54" s="6">
        <v>30068.02</v>
      </c>
      <c r="AF54" s="6">
        <v>8.5331939999999999</v>
      </c>
      <c r="AG54" s="6">
        <v>59.409910000000004</v>
      </c>
      <c r="AH54" s="6">
        <v>10.97222</v>
      </c>
      <c r="AI54" s="6">
        <v>0</v>
      </c>
      <c r="AJ54" s="6">
        <v>0</v>
      </c>
      <c r="AK54" s="6">
        <v>0</v>
      </c>
      <c r="AL54" s="6">
        <v>0</v>
      </c>
      <c r="AM54" s="5" t="s">
        <v>80</v>
      </c>
      <c r="AN54" s="5" t="s">
        <v>81</v>
      </c>
      <c r="AO54" s="5"/>
      <c r="AP54" s="6">
        <v>0.12535399999999999</v>
      </c>
      <c r="AQ54" s="6">
        <v>0.124171</v>
      </c>
      <c r="AR54" s="6">
        <v>0.118656</v>
      </c>
      <c r="AS54" s="6">
        <v>3.8E-3</v>
      </c>
      <c r="AT54" s="5"/>
      <c r="AU54" s="5"/>
      <c r="AV54" s="6">
        <v>7.8573000000000004E-2</v>
      </c>
      <c r="AW54" s="6">
        <v>4.5598E-2</v>
      </c>
      <c r="AX54" s="6">
        <v>4.2277000000000002E-2</v>
      </c>
      <c r="AY54" s="6">
        <v>0.105064</v>
      </c>
      <c r="AZ54" s="6">
        <v>1.8360999999999999E-2</v>
      </c>
      <c r="BA54" s="5"/>
      <c r="BB54" s="5"/>
      <c r="BC54" s="5"/>
      <c r="BD54" s="6">
        <v>8.9420000000000003E-3</v>
      </c>
      <c r="BE54" s="6">
        <v>2.0289999999999999E-2</v>
      </c>
      <c r="BF54" s="6">
        <v>0.106476</v>
      </c>
      <c r="BG54" s="6">
        <v>0.124902</v>
      </c>
      <c r="BH54" s="6">
        <v>6.1227999999999998E-2</v>
      </c>
    </row>
    <row r="55" spans="1:60" ht="12.75" x14ac:dyDescent="0.2">
      <c r="A55" s="8"/>
      <c r="B55" s="5"/>
      <c r="D55" s="5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5"/>
      <c r="AC55" s="5"/>
      <c r="AD55" s="6"/>
      <c r="AE55" s="6"/>
      <c r="AF55" s="6"/>
      <c r="AG55" s="6"/>
      <c r="AH55" s="6"/>
      <c r="AI55" s="6"/>
      <c r="AJ55" s="6"/>
      <c r="AK55" s="6"/>
      <c r="AL55" s="5"/>
      <c r="AM55" s="5"/>
      <c r="AN55" s="5"/>
      <c r="AO55" s="6"/>
      <c r="AP55" s="6"/>
      <c r="AQ55" s="6"/>
      <c r="AR55" s="6"/>
      <c r="AS55" s="5"/>
      <c r="AT55" s="5"/>
      <c r="AU55" s="6"/>
      <c r="AV55" s="6"/>
      <c r="AW55" s="6"/>
      <c r="AX55" s="6"/>
      <c r="AY55" s="6"/>
      <c r="AZ55" s="5"/>
      <c r="BA55" s="5"/>
      <c r="BB55" s="5"/>
      <c r="BC55" s="6"/>
      <c r="BD55" s="6"/>
      <c r="BE55" s="6"/>
      <c r="BF55" s="6"/>
      <c r="BG55" s="6"/>
      <c r="BH55" s="6"/>
    </row>
    <row r="56" spans="1:60" ht="12.75" x14ac:dyDescent="0.2">
      <c r="A56" s="8"/>
      <c r="B56" s="5"/>
      <c r="D56" s="5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5"/>
      <c r="AC56" s="5"/>
      <c r="AD56" s="6"/>
      <c r="AE56" s="6"/>
      <c r="AF56" s="6"/>
      <c r="AG56" s="6"/>
      <c r="AH56" s="6"/>
      <c r="AI56" s="6"/>
      <c r="AJ56" s="6"/>
      <c r="AK56" s="6"/>
      <c r="AL56" s="5"/>
      <c r="AM56" s="5"/>
      <c r="AN56" s="5"/>
      <c r="AO56" s="6"/>
      <c r="AP56" s="6"/>
      <c r="AQ56" s="6"/>
      <c r="AR56" s="6"/>
      <c r="AS56" s="5"/>
      <c r="AT56" s="5"/>
      <c r="AU56" s="6"/>
      <c r="AV56" s="6"/>
      <c r="AW56" s="6"/>
      <c r="AX56" s="6"/>
      <c r="AY56" s="6"/>
      <c r="AZ56" s="5"/>
      <c r="BA56" s="5"/>
      <c r="BB56" s="5"/>
      <c r="BC56" s="6"/>
      <c r="BD56" s="6"/>
      <c r="BE56" s="6"/>
      <c r="BF56" s="6"/>
      <c r="BG56" s="6"/>
      <c r="BH56" s="6"/>
    </row>
    <row r="57" spans="1:60" ht="12.75" x14ac:dyDescent="0.2">
      <c r="A57" s="8"/>
      <c r="B57" s="5"/>
      <c r="D57" s="5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5"/>
      <c r="AC57" s="5"/>
      <c r="AD57" s="6"/>
      <c r="AE57" s="6"/>
      <c r="AF57" s="6"/>
      <c r="AG57" s="6"/>
      <c r="AH57" s="6"/>
      <c r="AI57" s="6"/>
      <c r="AJ57" s="6"/>
      <c r="AK57" s="6"/>
      <c r="AL57" s="5"/>
      <c r="AM57" s="5"/>
      <c r="AN57" s="5"/>
      <c r="AO57" s="6"/>
      <c r="AP57" s="6"/>
      <c r="AQ57" s="6"/>
      <c r="AR57" s="6"/>
      <c r="AS57" s="5"/>
      <c r="AT57" s="5"/>
      <c r="AU57" s="6"/>
      <c r="AV57" s="6"/>
      <c r="AW57" s="6"/>
      <c r="AX57" s="6"/>
      <c r="AY57" s="6"/>
      <c r="AZ57" s="5"/>
      <c r="BA57" s="5"/>
      <c r="BB57" s="5"/>
      <c r="BC57" s="6"/>
      <c r="BD57" s="6"/>
      <c r="BE57" s="6"/>
      <c r="BF57" s="6"/>
      <c r="BG57" s="6"/>
      <c r="BH57" s="6"/>
    </row>
    <row r="58" spans="1:60" ht="12.75" x14ac:dyDescent="0.2">
      <c r="A58" s="10"/>
      <c r="B58" s="5"/>
      <c r="C58" s="5"/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5"/>
      <c r="AC58" s="5"/>
      <c r="AD58" s="6"/>
      <c r="AE58" s="6"/>
      <c r="AF58" s="6"/>
      <c r="AG58" s="6"/>
      <c r="AH58" s="6"/>
      <c r="AI58" s="6"/>
      <c r="AJ58" s="6"/>
      <c r="AK58" s="6"/>
      <c r="AL58" s="5"/>
      <c r="AM58" s="5"/>
      <c r="AN58" s="5"/>
      <c r="AO58" s="6"/>
      <c r="AP58" s="6"/>
      <c r="AQ58" s="6"/>
      <c r="AR58" s="6"/>
      <c r="AS58" s="5"/>
      <c r="AT58" s="5"/>
      <c r="AU58" s="6"/>
      <c r="AV58" s="6"/>
      <c r="AW58" s="6"/>
      <c r="AX58" s="6"/>
      <c r="AY58" s="6"/>
      <c r="AZ58" s="5"/>
      <c r="BA58" s="5"/>
      <c r="BB58" s="5"/>
      <c r="BC58" s="6"/>
      <c r="BD58" s="6"/>
      <c r="BE58" s="6"/>
      <c r="BF58" s="6"/>
      <c r="BG58" s="6"/>
      <c r="BH58" s="6"/>
    </row>
    <row r="59" spans="1:60" ht="12.75" x14ac:dyDescent="0.2">
      <c r="A59" s="10"/>
      <c r="B59" s="5"/>
      <c r="C59" s="5"/>
      <c r="D59" s="5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5"/>
      <c r="AC59" s="5"/>
      <c r="AD59" s="6"/>
      <c r="AE59" s="6"/>
      <c r="AF59" s="6"/>
      <c r="AG59" s="6"/>
      <c r="AH59" s="6"/>
      <c r="AI59" s="6"/>
      <c r="AJ59" s="6"/>
      <c r="AK59" s="6"/>
      <c r="AL59" s="5"/>
      <c r="AM59" s="5"/>
      <c r="AN59" s="5"/>
      <c r="AO59" s="6"/>
      <c r="AP59" s="6"/>
      <c r="AQ59" s="6"/>
      <c r="AR59" s="6"/>
      <c r="AS59" s="5"/>
      <c r="AT59" s="5"/>
      <c r="AU59" s="6"/>
      <c r="AV59" s="6"/>
      <c r="AW59" s="6"/>
      <c r="AX59" s="6"/>
      <c r="AY59" s="6"/>
      <c r="AZ59" s="5"/>
      <c r="BA59" s="5"/>
      <c r="BB59" s="5"/>
      <c r="BC59" s="6"/>
      <c r="BD59" s="6"/>
      <c r="BE59" s="6"/>
      <c r="BF59" s="6"/>
      <c r="BG59" s="6"/>
      <c r="BH59" s="6"/>
    </row>
    <row r="60" spans="1:60" ht="12.75" x14ac:dyDescent="0.2">
      <c r="A60" s="10"/>
      <c r="B60" s="5"/>
      <c r="C60" s="5"/>
      <c r="D60" s="5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5"/>
      <c r="AC60" s="5"/>
      <c r="AD60" s="6"/>
      <c r="AE60" s="6"/>
      <c r="AF60" s="6"/>
      <c r="AG60" s="6"/>
      <c r="AH60" s="6"/>
      <c r="AI60" s="6"/>
      <c r="AJ60" s="6"/>
      <c r="AK60" s="6"/>
      <c r="AL60" s="5"/>
      <c r="AM60" s="5"/>
      <c r="AN60" s="5"/>
      <c r="AO60" s="6"/>
      <c r="AP60" s="6"/>
      <c r="AQ60" s="6"/>
      <c r="AR60" s="6"/>
      <c r="AS60" s="5"/>
      <c r="AT60" s="5"/>
      <c r="AU60" s="6"/>
      <c r="AV60" s="6"/>
      <c r="AW60" s="6"/>
      <c r="AX60" s="6"/>
      <c r="AY60" s="6"/>
      <c r="AZ60" s="5"/>
      <c r="BA60" s="5"/>
      <c r="BB60" s="5"/>
      <c r="BC60" s="6"/>
      <c r="BD60" s="6"/>
      <c r="BE60" s="6"/>
      <c r="BF60" s="6"/>
      <c r="BG60" s="6"/>
      <c r="BH60" s="6"/>
    </row>
    <row r="61" spans="1:60" ht="12.75" x14ac:dyDescent="0.2">
      <c r="A61" s="10"/>
      <c r="B61" s="5"/>
      <c r="C61" s="5"/>
      <c r="D61" s="5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5"/>
      <c r="AC61" s="5"/>
      <c r="AD61" s="6"/>
      <c r="AE61" s="6"/>
      <c r="AF61" s="6"/>
      <c r="AG61" s="6"/>
      <c r="AH61" s="6"/>
      <c r="AI61" s="6"/>
      <c r="AJ61" s="6"/>
      <c r="AK61" s="6"/>
      <c r="AL61" s="5"/>
      <c r="AM61" s="5"/>
      <c r="AN61" s="5"/>
      <c r="AO61" s="6"/>
      <c r="AP61" s="6"/>
      <c r="AQ61" s="6"/>
      <c r="AR61" s="6"/>
      <c r="AS61" s="5"/>
      <c r="AT61" s="5"/>
      <c r="AU61" s="6"/>
      <c r="AV61" s="6"/>
      <c r="AW61" s="6"/>
      <c r="AX61" s="6"/>
      <c r="AY61" s="6"/>
      <c r="AZ61" s="5"/>
      <c r="BA61" s="5"/>
      <c r="BB61" s="5"/>
      <c r="BC61" s="6"/>
      <c r="BD61" s="6"/>
      <c r="BE61" s="6"/>
      <c r="BF61" s="6"/>
      <c r="BG61" s="6"/>
      <c r="BH61" s="6"/>
    </row>
    <row r="62" spans="1:60" ht="12.75" x14ac:dyDescent="0.2">
      <c r="A62" s="10"/>
      <c r="B62" s="5"/>
      <c r="C62" s="5"/>
      <c r="D62" s="5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5"/>
      <c r="AC62" s="5"/>
      <c r="AD62" s="6"/>
      <c r="AE62" s="6"/>
      <c r="AF62" s="6"/>
      <c r="AG62" s="6"/>
      <c r="AH62" s="6"/>
      <c r="AI62" s="6"/>
      <c r="AJ62" s="6"/>
      <c r="AK62" s="6"/>
      <c r="AL62" s="5"/>
      <c r="AM62" s="5"/>
      <c r="AN62" s="5"/>
      <c r="AO62" s="6"/>
      <c r="AP62" s="6"/>
      <c r="AQ62" s="6"/>
      <c r="AR62" s="6"/>
      <c r="AS62" s="5"/>
      <c r="AT62" s="5"/>
      <c r="AU62" s="6"/>
      <c r="AV62" s="6"/>
      <c r="AW62" s="6"/>
      <c r="AX62" s="6"/>
      <c r="AY62" s="6"/>
      <c r="AZ62" s="5"/>
      <c r="BA62" s="5"/>
      <c r="BB62" s="5"/>
      <c r="BC62" s="6"/>
      <c r="BD62" s="6"/>
      <c r="BE62" s="6"/>
      <c r="BF62" s="6"/>
      <c r="BG62" s="6"/>
      <c r="BH62" s="6"/>
    </row>
    <row r="63" spans="1:60" ht="12.75" x14ac:dyDescent="0.2">
      <c r="A63" s="10"/>
      <c r="B63" s="5"/>
      <c r="C63" s="5"/>
      <c r="D63" s="5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5"/>
      <c r="AC63" s="5"/>
      <c r="AD63" s="6"/>
      <c r="AE63" s="6"/>
      <c r="AF63" s="6"/>
      <c r="AG63" s="6"/>
      <c r="AH63" s="6"/>
      <c r="AI63" s="6"/>
      <c r="AJ63" s="6"/>
      <c r="AK63" s="6"/>
      <c r="AL63" s="5"/>
      <c r="AM63" s="5"/>
      <c r="AN63" s="5"/>
      <c r="AO63" s="6"/>
      <c r="AP63" s="6"/>
      <c r="AQ63" s="6"/>
      <c r="AR63" s="6"/>
      <c r="AS63" s="5"/>
      <c r="AT63" s="5"/>
      <c r="AU63" s="6"/>
      <c r="AV63" s="6"/>
      <c r="AW63" s="6"/>
      <c r="AX63" s="6"/>
      <c r="AY63" s="6"/>
      <c r="AZ63" s="5"/>
      <c r="BA63" s="5"/>
      <c r="BB63" s="5"/>
      <c r="BC63" s="6"/>
      <c r="BD63" s="6"/>
      <c r="BE63" s="6"/>
      <c r="BF63" s="6"/>
      <c r="BG63" s="6"/>
      <c r="BH63" s="6"/>
    </row>
    <row r="64" spans="1:60" ht="12.75" x14ac:dyDescent="0.2">
      <c r="A64" s="10"/>
      <c r="B64" s="5"/>
      <c r="C64" s="5"/>
      <c r="D64" s="5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5"/>
      <c r="AC64" s="5"/>
      <c r="AD64" s="6"/>
      <c r="AE64" s="6"/>
      <c r="AF64" s="6"/>
      <c r="AG64" s="6"/>
      <c r="AH64" s="6"/>
      <c r="AI64" s="6"/>
      <c r="AJ64" s="6"/>
      <c r="AK64" s="6"/>
      <c r="AL64" s="5"/>
      <c r="AM64" s="5"/>
      <c r="AN64" s="5"/>
      <c r="AO64" s="6"/>
      <c r="AP64" s="6"/>
      <c r="AQ64" s="6"/>
      <c r="AR64" s="6"/>
      <c r="AS64" s="5"/>
      <c r="AT64" s="5"/>
      <c r="AU64" s="6"/>
      <c r="AV64" s="6"/>
      <c r="AW64" s="6"/>
      <c r="AX64" s="6"/>
      <c r="AY64" s="6"/>
      <c r="AZ64" s="5"/>
      <c r="BA64" s="5"/>
      <c r="BB64" s="5"/>
      <c r="BC64" s="6"/>
      <c r="BD64" s="6"/>
      <c r="BE64" s="6"/>
      <c r="BF64" s="6"/>
      <c r="BG64" s="6"/>
      <c r="BH64" s="6"/>
    </row>
    <row r="65" spans="1:60" ht="12.75" x14ac:dyDescent="0.2">
      <c r="A65" s="10"/>
      <c r="B65" s="5"/>
      <c r="C65" s="5"/>
      <c r="D65" s="5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5"/>
      <c r="AC65" s="5"/>
      <c r="AD65" s="6"/>
      <c r="AE65" s="6"/>
      <c r="AF65" s="6"/>
      <c r="AG65" s="6"/>
      <c r="AH65" s="6"/>
      <c r="AI65" s="6"/>
      <c r="AJ65" s="6"/>
      <c r="AK65" s="6"/>
      <c r="AL65" s="5"/>
      <c r="AM65" s="5"/>
      <c r="AN65" s="5"/>
      <c r="AO65" s="6"/>
      <c r="AP65" s="6"/>
      <c r="AQ65" s="6"/>
      <c r="AR65" s="6"/>
      <c r="AS65" s="5"/>
      <c r="AT65" s="5"/>
      <c r="AU65" s="6"/>
      <c r="AV65" s="6"/>
      <c r="AW65" s="6"/>
      <c r="AX65" s="6"/>
      <c r="AY65" s="6"/>
      <c r="AZ65" s="5"/>
      <c r="BA65" s="5"/>
      <c r="BB65" s="5"/>
      <c r="BC65" s="6"/>
      <c r="BD65" s="6"/>
      <c r="BE65" s="6"/>
      <c r="BF65" s="6"/>
      <c r="BG65" s="6"/>
      <c r="BH65" s="6"/>
    </row>
    <row r="66" spans="1:60" ht="12.75" x14ac:dyDescent="0.2">
      <c r="A66" s="10"/>
      <c r="B66" s="5"/>
      <c r="C66" s="5"/>
      <c r="D66" s="5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5"/>
      <c r="AC66" s="5"/>
      <c r="AD66" s="6"/>
      <c r="AE66" s="6"/>
      <c r="AF66" s="6"/>
      <c r="AG66" s="6"/>
      <c r="AH66" s="6"/>
      <c r="AI66" s="6"/>
      <c r="AJ66" s="6"/>
      <c r="AK66" s="6"/>
      <c r="AL66" s="5"/>
      <c r="AM66" s="5"/>
      <c r="AN66" s="5"/>
      <c r="AO66" s="6"/>
      <c r="AP66" s="6"/>
      <c r="AQ66" s="6"/>
      <c r="AR66" s="6"/>
      <c r="AS66" s="5"/>
      <c r="AT66" s="5"/>
      <c r="AU66" s="6"/>
      <c r="AV66" s="6"/>
      <c r="AW66" s="6"/>
      <c r="AX66" s="6"/>
      <c r="AY66" s="6"/>
      <c r="AZ66" s="5"/>
      <c r="BA66" s="5"/>
      <c r="BB66" s="5"/>
      <c r="BC66" s="6"/>
      <c r="BD66" s="6"/>
      <c r="BE66" s="6"/>
      <c r="BF66" s="6"/>
      <c r="BG66" s="6"/>
      <c r="BH66" s="6"/>
    </row>
    <row r="67" spans="1:60" ht="12.75" x14ac:dyDescent="0.2">
      <c r="A67" s="10"/>
      <c r="B67" s="5"/>
      <c r="C67" s="5"/>
      <c r="D67" s="5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5"/>
      <c r="AC67" s="5"/>
      <c r="AD67" s="6"/>
      <c r="AE67" s="6"/>
      <c r="AF67" s="6"/>
      <c r="AG67" s="6"/>
      <c r="AH67" s="6"/>
      <c r="AI67" s="6"/>
      <c r="AJ67" s="6"/>
      <c r="AK67" s="6"/>
      <c r="AL67" s="5"/>
      <c r="AM67" s="5"/>
      <c r="AN67" s="5"/>
      <c r="AO67" s="6"/>
      <c r="AP67" s="6"/>
      <c r="AQ67" s="6"/>
      <c r="AR67" s="6"/>
      <c r="AS67" s="5"/>
      <c r="AT67" s="5"/>
      <c r="AU67" s="6"/>
      <c r="AV67" s="6"/>
      <c r="AW67" s="6"/>
      <c r="AX67" s="6"/>
      <c r="AY67" s="6"/>
      <c r="AZ67" s="5"/>
      <c r="BA67" s="5"/>
      <c r="BB67" s="5"/>
      <c r="BC67" s="6"/>
      <c r="BD67" s="6"/>
      <c r="BE67" s="6"/>
      <c r="BF67" s="6"/>
      <c r="BG67" s="6"/>
      <c r="BH67" s="6"/>
    </row>
    <row r="68" spans="1:60" ht="12.75" x14ac:dyDescent="0.2">
      <c r="A68" s="10"/>
      <c r="B68" s="5"/>
      <c r="C68" s="5"/>
      <c r="D68" s="5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5"/>
      <c r="AC68" s="5"/>
      <c r="AD68" s="6"/>
      <c r="AE68" s="6"/>
      <c r="AF68" s="6"/>
      <c r="AG68" s="6"/>
      <c r="AH68" s="6"/>
      <c r="AI68" s="6"/>
      <c r="AJ68" s="6"/>
      <c r="AK68" s="6"/>
      <c r="AL68" s="5"/>
      <c r="AM68" s="5"/>
      <c r="AN68" s="5"/>
      <c r="AO68" s="6"/>
      <c r="AP68" s="6"/>
      <c r="AQ68" s="6"/>
      <c r="AR68" s="6"/>
      <c r="AS68" s="5"/>
      <c r="AT68" s="5"/>
      <c r="AU68" s="6"/>
      <c r="AV68" s="6"/>
      <c r="AW68" s="6"/>
      <c r="AX68" s="6"/>
      <c r="AY68" s="6"/>
      <c r="AZ68" s="5"/>
      <c r="BA68" s="5"/>
      <c r="BB68" s="5"/>
      <c r="BC68" s="6"/>
      <c r="BD68" s="6"/>
      <c r="BE68" s="6"/>
      <c r="BF68" s="6"/>
      <c r="BG68" s="6"/>
      <c r="BH68" s="6"/>
    </row>
    <row r="69" spans="1:60" ht="12.75" x14ac:dyDescent="0.2">
      <c r="A69" s="10"/>
      <c r="B69" s="5"/>
      <c r="C69" s="5"/>
      <c r="D69" s="5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5"/>
      <c r="AC69" s="5"/>
      <c r="AD69" s="6"/>
      <c r="AE69" s="6"/>
      <c r="AF69" s="6"/>
      <c r="AG69" s="6"/>
      <c r="AH69" s="6"/>
      <c r="AI69" s="6"/>
      <c r="AJ69" s="6"/>
      <c r="AK69" s="6"/>
      <c r="AL69" s="5"/>
      <c r="AM69" s="5"/>
      <c r="AN69" s="5"/>
      <c r="AO69" s="6"/>
      <c r="AP69" s="6"/>
      <c r="AQ69" s="6"/>
      <c r="AR69" s="6"/>
      <c r="AS69" s="5"/>
      <c r="AT69" s="5"/>
      <c r="AU69" s="6"/>
      <c r="AV69" s="6"/>
      <c r="AW69" s="6"/>
      <c r="AX69" s="6"/>
      <c r="AY69" s="6"/>
      <c r="AZ69" s="5"/>
      <c r="BA69" s="5"/>
      <c r="BB69" s="5"/>
      <c r="BC69" s="6"/>
      <c r="BD69" s="6"/>
      <c r="BE69" s="6"/>
      <c r="BF69" s="6"/>
      <c r="BG69" s="6"/>
      <c r="BH69" s="6"/>
    </row>
    <row r="70" spans="1:60" ht="12.75" x14ac:dyDescent="0.2">
      <c r="A70" s="10"/>
      <c r="B70" s="5"/>
      <c r="C70" s="5"/>
      <c r="D70" s="5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5"/>
      <c r="AC70" s="5"/>
      <c r="AD70" s="5"/>
      <c r="AE70" s="6"/>
      <c r="AF70" s="6"/>
      <c r="AG70" s="6"/>
      <c r="AH70" s="6"/>
      <c r="AI70" s="6"/>
      <c r="AJ70" s="6"/>
      <c r="AK70" s="6"/>
      <c r="AL70" s="5"/>
      <c r="AM70" s="5"/>
      <c r="AN70" s="5"/>
      <c r="AO70" s="6"/>
      <c r="AP70" s="6"/>
      <c r="AQ70" s="6"/>
      <c r="AR70" s="6"/>
      <c r="AS70" s="5"/>
      <c r="AT70" s="5"/>
      <c r="AU70" s="6"/>
      <c r="AV70" s="6"/>
      <c r="AW70" s="6"/>
      <c r="AX70" s="6"/>
      <c r="AY70" s="6"/>
      <c r="AZ70" s="5"/>
      <c r="BA70" s="5"/>
      <c r="BB70" s="5"/>
      <c r="BC70" s="6"/>
      <c r="BD70" s="6"/>
      <c r="BE70" s="6"/>
      <c r="BF70" s="6"/>
      <c r="BG70" s="6"/>
      <c r="BH70" s="6"/>
    </row>
    <row r="71" spans="1:60" ht="12.75" x14ac:dyDescent="0.2">
      <c r="A71" s="10"/>
      <c r="B71" s="5"/>
      <c r="C71" s="5"/>
      <c r="D71" s="5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5"/>
      <c r="AC71" s="5"/>
      <c r="AD71" s="5"/>
      <c r="AE71" s="6"/>
      <c r="AF71" s="6"/>
      <c r="AG71" s="6"/>
      <c r="AH71" s="6"/>
      <c r="AI71" s="6"/>
      <c r="AJ71" s="6"/>
      <c r="AK71" s="6"/>
      <c r="AL71" s="5"/>
      <c r="AM71" s="5"/>
      <c r="AN71" s="5"/>
      <c r="AO71" s="6"/>
      <c r="AP71" s="6"/>
      <c r="AQ71" s="6"/>
      <c r="AR71" s="6"/>
      <c r="AS71" s="5"/>
      <c r="AT71" s="5"/>
      <c r="AU71" s="6"/>
      <c r="AV71" s="6"/>
      <c r="AW71" s="6"/>
      <c r="AX71" s="6"/>
      <c r="AY71" s="6"/>
      <c r="AZ71" s="5"/>
      <c r="BA71" s="5"/>
      <c r="BB71" s="5"/>
      <c r="BC71" s="6"/>
      <c r="BD71" s="6"/>
      <c r="BE71" s="6"/>
      <c r="BF71" s="6"/>
      <c r="BG71" s="6"/>
      <c r="BH71" s="6"/>
    </row>
    <row r="72" spans="1:60" ht="12.75" x14ac:dyDescent="0.2">
      <c r="A72" s="10"/>
      <c r="B72" s="5"/>
      <c r="C72" s="5"/>
      <c r="D72" s="5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5"/>
      <c r="AC72" s="5"/>
      <c r="AD72" s="5"/>
      <c r="AE72" s="6"/>
      <c r="AF72" s="6"/>
      <c r="AG72" s="6"/>
      <c r="AH72" s="6"/>
      <c r="AI72" s="6"/>
      <c r="AJ72" s="6"/>
      <c r="AK72" s="6"/>
      <c r="AL72" s="5"/>
      <c r="AM72" s="5"/>
      <c r="AN72" s="5"/>
      <c r="AO72" s="6"/>
      <c r="AP72" s="6"/>
      <c r="AQ72" s="6"/>
      <c r="AR72" s="6"/>
      <c r="AS72" s="5"/>
      <c r="AT72" s="5"/>
      <c r="AU72" s="6"/>
      <c r="AV72" s="6"/>
      <c r="AW72" s="6"/>
      <c r="AX72" s="6"/>
      <c r="AY72" s="6"/>
      <c r="AZ72" s="5"/>
      <c r="BA72" s="5"/>
      <c r="BB72" s="5"/>
      <c r="BC72" s="6"/>
      <c r="BD72" s="6"/>
      <c r="BE72" s="6"/>
      <c r="BF72" s="6"/>
      <c r="BG72" s="6"/>
      <c r="BH72" s="6"/>
    </row>
    <row r="73" spans="1:60" ht="12.75" x14ac:dyDescent="0.2">
      <c r="A73" s="10"/>
      <c r="B73" s="5"/>
      <c r="C73" s="5"/>
      <c r="D73" s="5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5"/>
      <c r="AC73" s="5"/>
      <c r="AD73" s="5"/>
      <c r="AE73" s="6"/>
      <c r="AF73" s="6"/>
      <c r="AG73" s="6"/>
      <c r="AH73" s="6"/>
      <c r="AI73" s="6"/>
      <c r="AJ73" s="6"/>
      <c r="AK73" s="6"/>
      <c r="AL73" s="5"/>
      <c r="AM73" s="5"/>
      <c r="AN73" s="5"/>
      <c r="AO73" s="6"/>
      <c r="AP73" s="6"/>
      <c r="AQ73" s="6"/>
      <c r="AR73" s="6"/>
      <c r="AS73" s="5"/>
      <c r="AT73" s="5"/>
      <c r="AU73" s="6"/>
      <c r="AV73" s="6"/>
      <c r="AW73" s="6"/>
      <c r="AX73" s="6"/>
      <c r="AY73" s="6"/>
      <c r="AZ73" s="5"/>
      <c r="BA73" s="5"/>
      <c r="BB73" s="5"/>
      <c r="BC73" s="6"/>
      <c r="BD73" s="6"/>
      <c r="BE73" s="6"/>
      <c r="BF73" s="6"/>
      <c r="BG73" s="6"/>
      <c r="BH73" s="6"/>
    </row>
    <row r="74" spans="1:60" ht="12.75" x14ac:dyDescent="0.2">
      <c r="A74" s="10"/>
      <c r="B74" s="5"/>
      <c r="C74" s="5"/>
      <c r="D74" s="5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5"/>
      <c r="AC74" s="5"/>
      <c r="AD74" s="5"/>
      <c r="AE74" s="6"/>
      <c r="AF74" s="6"/>
      <c r="AG74" s="6"/>
      <c r="AH74" s="6"/>
      <c r="AI74" s="6"/>
      <c r="AJ74" s="6"/>
      <c r="AK74" s="6"/>
      <c r="AL74" s="5"/>
      <c r="AM74" s="5"/>
      <c r="AN74" s="5"/>
      <c r="AO74" s="6"/>
      <c r="AP74" s="6"/>
      <c r="AQ74" s="6"/>
      <c r="AR74" s="6"/>
      <c r="AS74" s="5"/>
      <c r="AT74" s="5"/>
      <c r="AU74" s="6"/>
      <c r="AV74" s="6"/>
      <c r="AW74" s="6"/>
      <c r="AX74" s="6"/>
      <c r="AY74" s="6"/>
      <c r="AZ74" s="5"/>
      <c r="BA74" s="5"/>
      <c r="BB74" s="5"/>
      <c r="BC74" s="6"/>
      <c r="BD74" s="6"/>
      <c r="BE74" s="6"/>
      <c r="BF74" s="6"/>
      <c r="BG74" s="6"/>
      <c r="BH74" s="6"/>
    </row>
    <row r="75" spans="1:60" ht="12.75" x14ac:dyDescent="0.2">
      <c r="A75" s="10"/>
      <c r="B75" s="5"/>
      <c r="C75" s="5"/>
      <c r="D75" s="5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5"/>
      <c r="AC75" s="5"/>
      <c r="AD75" s="5"/>
      <c r="AE75" s="6"/>
      <c r="AF75" s="6"/>
      <c r="AG75" s="6"/>
      <c r="AH75" s="6"/>
      <c r="AI75" s="6"/>
      <c r="AJ75" s="6"/>
      <c r="AK75" s="6"/>
      <c r="AL75" s="5"/>
      <c r="AM75" s="5"/>
      <c r="AN75" s="5"/>
      <c r="AO75" s="6"/>
      <c r="AP75" s="6"/>
      <c r="AQ75" s="6"/>
      <c r="AR75" s="6"/>
      <c r="AS75" s="5"/>
      <c r="AT75" s="5"/>
      <c r="AU75" s="6"/>
      <c r="AV75" s="6"/>
      <c r="AW75" s="6"/>
      <c r="AX75" s="6"/>
      <c r="AY75" s="6"/>
      <c r="AZ75" s="5"/>
      <c r="BA75" s="5"/>
      <c r="BB75" s="5"/>
      <c r="BC75" s="6"/>
      <c r="BD75" s="6"/>
      <c r="BE75" s="6"/>
      <c r="BF75" s="6"/>
      <c r="BG75" s="6"/>
      <c r="BH75" s="6"/>
    </row>
    <row r="76" spans="1:60" ht="12.75" x14ac:dyDescent="0.2">
      <c r="A76" s="10"/>
      <c r="B76" s="5"/>
      <c r="C76" s="5"/>
      <c r="D76" s="5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5"/>
      <c r="AM76" s="5"/>
      <c r="AN76" s="5"/>
      <c r="AO76" s="6"/>
      <c r="AP76" s="6"/>
      <c r="AQ76" s="6"/>
      <c r="AR76" s="6"/>
      <c r="AS76" s="5"/>
      <c r="AT76" s="5"/>
      <c r="AU76" s="6"/>
      <c r="AV76" s="6"/>
      <c r="AW76" s="6"/>
      <c r="AX76" s="6"/>
      <c r="AY76" s="6"/>
      <c r="AZ76" s="5"/>
      <c r="BA76" s="5"/>
      <c r="BB76" s="5"/>
      <c r="BC76" s="6"/>
      <c r="BD76" s="6"/>
      <c r="BE76" s="6"/>
      <c r="BF76" s="6"/>
      <c r="BG76" s="6"/>
      <c r="BH76" s="6"/>
    </row>
    <row r="77" spans="1:60" ht="12.75" x14ac:dyDescent="0.2">
      <c r="A77" s="10"/>
      <c r="B77" s="5"/>
      <c r="C77" s="5"/>
      <c r="D77" s="5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5"/>
      <c r="AM77" s="5"/>
      <c r="AN77" s="5"/>
      <c r="AO77" s="6"/>
      <c r="AP77" s="6"/>
      <c r="AQ77" s="6"/>
      <c r="AR77" s="6"/>
      <c r="AS77" s="5"/>
      <c r="AT77" s="5"/>
      <c r="AU77" s="6"/>
      <c r="AV77" s="6"/>
      <c r="AW77" s="6"/>
      <c r="AX77" s="6"/>
      <c r="AY77" s="6"/>
      <c r="AZ77" s="5"/>
      <c r="BA77" s="5"/>
      <c r="BB77" s="5"/>
      <c r="BC77" s="6"/>
      <c r="BD77" s="6"/>
      <c r="BE77" s="6"/>
      <c r="BF77" s="6"/>
      <c r="BG77" s="6"/>
      <c r="BH77" s="6"/>
    </row>
    <row r="78" spans="1:60" ht="12.75" x14ac:dyDescent="0.2">
      <c r="A78" s="10"/>
      <c r="B78" s="5"/>
      <c r="C78" s="5"/>
      <c r="D78" s="5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5"/>
      <c r="AM78" s="5"/>
      <c r="AN78" s="5"/>
      <c r="AO78" s="6"/>
      <c r="AP78" s="6"/>
      <c r="AQ78" s="6"/>
      <c r="AR78" s="6"/>
      <c r="AS78" s="5"/>
      <c r="AT78" s="5"/>
      <c r="AU78" s="6"/>
      <c r="AV78" s="6"/>
      <c r="AW78" s="6"/>
      <c r="AX78" s="6"/>
      <c r="AY78" s="6"/>
      <c r="AZ78" s="5"/>
      <c r="BA78" s="5"/>
      <c r="BB78" s="5"/>
      <c r="BC78" s="6"/>
      <c r="BD78" s="6"/>
      <c r="BE78" s="6"/>
      <c r="BF78" s="6"/>
      <c r="BG78" s="6"/>
      <c r="BH78" s="6"/>
    </row>
    <row r="79" spans="1:60" ht="12.75" x14ac:dyDescent="0.2">
      <c r="A79" s="10"/>
      <c r="B79" s="5"/>
      <c r="C79" s="5"/>
      <c r="D79" s="5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5"/>
      <c r="AM79" s="5"/>
      <c r="AN79" s="5"/>
      <c r="AO79" s="6"/>
      <c r="AP79" s="6"/>
      <c r="AQ79" s="6"/>
      <c r="AR79" s="6"/>
      <c r="AS79" s="5"/>
      <c r="AT79" s="5"/>
      <c r="AU79" s="6"/>
      <c r="AV79" s="6"/>
      <c r="AW79" s="6"/>
      <c r="AX79" s="6"/>
      <c r="AY79" s="6"/>
      <c r="AZ79" s="5"/>
      <c r="BA79" s="5"/>
      <c r="BB79" s="5"/>
      <c r="BC79" s="6"/>
      <c r="BD79" s="6"/>
      <c r="BE79" s="6"/>
      <c r="BF79" s="6"/>
      <c r="BG79" s="6"/>
      <c r="BH79" s="6"/>
    </row>
    <row r="80" spans="1:60" ht="12.75" x14ac:dyDescent="0.2">
      <c r="A80" s="10"/>
      <c r="B80" s="5"/>
      <c r="C80" s="5"/>
      <c r="D80" s="5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5"/>
      <c r="AM80" s="5"/>
      <c r="AN80" s="5"/>
      <c r="AO80" s="6"/>
      <c r="AP80" s="6"/>
      <c r="AQ80" s="6"/>
      <c r="AR80" s="6"/>
      <c r="AS80" s="5"/>
      <c r="AT80" s="5"/>
      <c r="AU80" s="6"/>
      <c r="AV80" s="6"/>
      <c r="AW80" s="6"/>
      <c r="AX80" s="6"/>
      <c r="AY80" s="6"/>
      <c r="AZ80" s="5"/>
      <c r="BA80" s="5"/>
      <c r="BB80" s="5"/>
      <c r="BC80" s="6"/>
      <c r="BD80" s="6"/>
      <c r="BE80" s="6"/>
      <c r="BF80" s="6"/>
      <c r="BG80" s="6"/>
      <c r="BH80" s="6"/>
    </row>
    <row r="81" spans="1:60" ht="12.75" x14ac:dyDescent="0.2">
      <c r="A81" s="10"/>
      <c r="B81" s="5"/>
      <c r="C81" s="5"/>
      <c r="D81" s="5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5"/>
      <c r="AM81" s="5"/>
      <c r="AN81" s="5"/>
      <c r="AO81" s="6"/>
      <c r="AP81" s="6"/>
      <c r="AQ81" s="6"/>
      <c r="AR81" s="6"/>
      <c r="AS81" s="5"/>
      <c r="AT81" s="5"/>
      <c r="AU81" s="6"/>
      <c r="AV81" s="6"/>
      <c r="AW81" s="6"/>
      <c r="AX81" s="6"/>
      <c r="AY81" s="6"/>
      <c r="AZ81" s="5"/>
      <c r="BA81" s="5"/>
      <c r="BB81" s="5"/>
      <c r="BC81" s="6"/>
      <c r="BD81" s="6"/>
      <c r="BE81" s="6"/>
      <c r="BF81" s="6"/>
      <c r="BG81" s="6"/>
      <c r="BH81" s="6"/>
    </row>
    <row r="82" spans="1:60" ht="12.75" x14ac:dyDescent="0.2">
      <c r="A82" s="10"/>
      <c r="B82" s="5"/>
      <c r="C82" s="5"/>
      <c r="D82" s="5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5"/>
      <c r="AM82" s="5"/>
      <c r="AN82" s="5"/>
      <c r="AO82" s="6"/>
      <c r="AP82" s="6"/>
      <c r="AQ82" s="6"/>
      <c r="AR82" s="6"/>
      <c r="AS82" s="5"/>
      <c r="AT82" s="5"/>
      <c r="AU82" s="6"/>
      <c r="AV82" s="6"/>
      <c r="AW82" s="6"/>
      <c r="AX82" s="6"/>
      <c r="AY82" s="6"/>
      <c r="AZ82" s="5"/>
      <c r="BA82" s="5"/>
      <c r="BB82" s="5"/>
      <c r="BC82" s="6"/>
      <c r="BD82" s="6"/>
      <c r="BE82" s="6"/>
      <c r="BF82" s="6"/>
      <c r="BG82" s="6"/>
      <c r="BH82" s="6"/>
    </row>
    <row r="83" spans="1:60" ht="12.75" x14ac:dyDescent="0.2">
      <c r="A83" s="10"/>
      <c r="B83" s="5"/>
      <c r="C83" s="5"/>
      <c r="D83" s="5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5"/>
      <c r="AM83" s="5"/>
      <c r="AN83" s="5"/>
      <c r="AO83" s="6"/>
      <c r="AP83" s="6"/>
      <c r="AQ83" s="6"/>
      <c r="AR83" s="6"/>
      <c r="AS83" s="5"/>
      <c r="AT83" s="5"/>
      <c r="AU83" s="6"/>
      <c r="AV83" s="6"/>
      <c r="AW83" s="6"/>
      <c r="AX83" s="6"/>
      <c r="AY83" s="6"/>
      <c r="AZ83" s="5"/>
      <c r="BA83" s="5"/>
      <c r="BB83" s="5"/>
      <c r="BC83" s="6"/>
      <c r="BD83" s="6"/>
      <c r="BE83" s="6"/>
      <c r="BF83" s="6"/>
      <c r="BG83" s="6"/>
      <c r="BH83" s="6"/>
    </row>
    <row r="84" spans="1:60" ht="12.75" x14ac:dyDescent="0.2">
      <c r="A84" s="10"/>
      <c r="B84" s="5"/>
      <c r="C84" s="5"/>
      <c r="D84" s="5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5"/>
      <c r="AM84" s="5"/>
      <c r="AN84" s="5"/>
      <c r="AO84" s="6"/>
      <c r="AP84" s="6"/>
      <c r="AQ84" s="6"/>
      <c r="AR84" s="6"/>
      <c r="AS84" s="5"/>
      <c r="AT84" s="5"/>
      <c r="AU84" s="6"/>
      <c r="AV84" s="6"/>
      <c r="AW84" s="6"/>
      <c r="AX84" s="6"/>
      <c r="AY84" s="6"/>
      <c r="AZ84" s="5"/>
      <c r="BA84" s="5"/>
      <c r="BB84" s="5"/>
      <c r="BC84" s="6"/>
      <c r="BD84" s="6"/>
      <c r="BE84" s="6"/>
      <c r="BF84" s="6"/>
      <c r="BG84" s="6"/>
      <c r="BH84" s="6"/>
    </row>
    <row r="85" spans="1:60" ht="12.75" x14ac:dyDescent="0.2">
      <c r="A85" s="10"/>
      <c r="B85" s="5"/>
      <c r="C85" s="5"/>
      <c r="D85" s="5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5"/>
      <c r="AM85" s="5"/>
      <c r="AN85" s="5"/>
      <c r="AO85" s="6"/>
      <c r="AP85" s="6"/>
      <c r="AQ85" s="6"/>
      <c r="AR85" s="6"/>
      <c r="AS85" s="5"/>
      <c r="AT85" s="5"/>
      <c r="AU85" s="6"/>
      <c r="AV85" s="6"/>
      <c r="AW85" s="6"/>
      <c r="AX85" s="6"/>
      <c r="AY85" s="6"/>
      <c r="AZ85" s="5"/>
      <c r="BA85" s="5"/>
      <c r="BB85" s="5"/>
      <c r="BC85" s="6"/>
      <c r="BD85" s="6"/>
      <c r="BE85" s="6"/>
      <c r="BF85" s="6"/>
      <c r="BG85" s="6"/>
      <c r="BH85" s="6"/>
    </row>
    <row r="86" spans="1:60" ht="12.75" x14ac:dyDescent="0.2">
      <c r="A86" s="10"/>
      <c r="B86" s="5"/>
      <c r="C86" s="5"/>
      <c r="D86" s="5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5"/>
      <c r="AM86" s="5"/>
      <c r="AN86" s="5"/>
      <c r="AO86" s="6"/>
      <c r="AP86" s="6"/>
      <c r="AQ86" s="6"/>
      <c r="AR86" s="6"/>
      <c r="AS86" s="5"/>
      <c r="AT86" s="5"/>
      <c r="AU86" s="6"/>
      <c r="AV86" s="6"/>
      <c r="AW86" s="6"/>
      <c r="AX86" s="6"/>
      <c r="AY86" s="6"/>
      <c r="AZ86" s="5"/>
      <c r="BA86" s="5"/>
      <c r="BB86" s="5"/>
      <c r="BC86" s="6"/>
      <c r="BD86" s="6"/>
      <c r="BE86" s="6"/>
      <c r="BF86" s="6"/>
      <c r="BG86" s="6"/>
      <c r="BH86" s="6"/>
    </row>
    <row r="87" spans="1:60" ht="12.75" x14ac:dyDescent="0.2">
      <c r="A87" s="10"/>
      <c r="B87" s="5"/>
      <c r="C87" s="5"/>
      <c r="D87" s="5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5"/>
      <c r="AM87" s="5"/>
      <c r="AN87" s="5"/>
      <c r="AO87" s="6"/>
      <c r="AP87" s="6"/>
      <c r="AQ87" s="6"/>
      <c r="AR87" s="6"/>
      <c r="AS87" s="5"/>
      <c r="AT87" s="5"/>
      <c r="AU87" s="6"/>
      <c r="AV87" s="6"/>
      <c r="AW87" s="6"/>
      <c r="AX87" s="6"/>
      <c r="AY87" s="6"/>
      <c r="AZ87" s="5"/>
      <c r="BA87" s="5"/>
      <c r="BB87" s="5"/>
      <c r="BC87" s="6"/>
      <c r="BD87" s="6"/>
      <c r="BE87" s="6"/>
      <c r="BF87" s="6"/>
      <c r="BG87" s="6"/>
      <c r="BH87" s="6"/>
    </row>
    <row r="88" spans="1:60" ht="12.75" x14ac:dyDescent="0.2">
      <c r="A88" s="10"/>
      <c r="B88" s="5"/>
      <c r="C88" s="5"/>
      <c r="D88" s="5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5"/>
      <c r="AM88" s="5"/>
      <c r="AN88" s="5"/>
      <c r="AO88" s="6"/>
      <c r="AP88" s="6"/>
      <c r="AQ88" s="6"/>
      <c r="AR88" s="6"/>
      <c r="AS88" s="5"/>
      <c r="AT88" s="5"/>
      <c r="AU88" s="6"/>
      <c r="AV88" s="6"/>
      <c r="AW88" s="6"/>
      <c r="AX88" s="6"/>
      <c r="AY88" s="6"/>
      <c r="AZ88" s="5"/>
      <c r="BA88" s="5"/>
      <c r="BB88" s="5"/>
      <c r="BC88" s="6"/>
      <c r="BD88" s="6"/>
      <c r="BE88" s="6"/>
      <c r="BF88" s="6"/>
      <c r="BG88" s="6"/>
      <c r="BH88" s="6"/>
    </row>
    <row r="89" spans="1:60" ht="12.75" x14ac:dyDescent="0.2">
      <c r="A89" s="10"/>
      <c r="B89" s="5"/>
      <c r="C89" s="5"/>
      <c r="D89" s="5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5"/>
      <c r="AM89" s="5"/>
      <c r="AN89" s="5"/>
      <c r="AO89" s="6"/>
      <c r="AP89" s="6"/>
      <c r="AQ89" s="6"/>
      <c r="AR89" s="6"/>
      <c r="AS89" s="5"/>
      <c r="AT89" s="5"/>
      <c r="AU89" s="6"/>
      <c r="AV89" s="6"/>
      <c r="AW89" s="6"/>
      <c r="AX89" s="6"/>
      <c r="AY89" s="6"/>
      <c r="AZ89" s="5"/>
      <c r="BA89" s="5"/>
      <c r="BB89" s="5"/>
      <c r="BC89" s="6"/>
      <c r="BD89" s="6"/>
      <c r="BE89" s="6"/>
      <c r="BF89" s="6"/>
      <c r="BG89" s="6"/>
      <c r="BH89" s="6"/>
    </row>
    <row r="90" spans="1:60" ht="12.75" x14ac:dyDescent="0.2">
      <c r="A90" s="10"/>
      <c r="B90" s="5"/>
      <c r="C90" s="5"/>
      <c r="D90" s="5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5"/>
      <c r="AM90" s="5"/>
      <c r="AN90" s="5"/>
      <c r="AO90" s="6"/>
      <c r="AP90" s="6"/>
      <c r="AQ90" s="6"/>
      <c r="AR90" s="6"/>
      <c r="AS90" s="5"/>
      <c r="AT90" s="5"/>
      <c r="AU90" s="6"/>
      <c r="AV90" s="6"/>
      <c r="AW90" s="6"/>
      <c r="AX90" s="6"/>
      <c r="AY90" s="6"/>
      <c r="AZ90" s="5"/>
      <c r="BA90" s="5"/>
      <c r="BB90" s="5"/>
      <c r="BC90" s="6"/>
      <c r="BD90" s="6"/>
      <c r="BE90" s="6"/>
      <c r="BF90" s="6"/>
      <c r="BG90" s="6"/>
      <c r="BH90" s="6"/>
    </row>
    <row r="91" spans="1:60" ht="12.75" x14ac:dyDescent="0.2">
      <c r="A91" s="10"/>
      <c r="B91" s="5"/>
      <c r="C91" s="5"/>
      <c r="D91" s="5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5"/>
      <c r="AM91" s="5"/>
      <c r="AN91" s="5"/>
      <c r="AO91" s="6"/>
      <c r="AP91" s="6"/>
      <c r="AQ91" s="6"/>
      <c r="AR91" s="6"/>
      <c r="AS91" s="5"/>
      <c r="AT91" s="5"/>
      <c r="AU91" s="6"/>
      <c r="AV91" s="6"/>
      <c r="AW91" s="6"/>
      <c r="AX91" s="6"/>
      <c r="AY91" s="6"/>
      <c r="AZ91" s="5"/>
      <c r="BA91" s="5"/>
      <c r="BB91" s="5"/>
      <c r="BC91" s="6"/>
      <c r="BD91" s="6"/>
      <c r="BE91" s="6"/>
      <c r="BF91" s="6"/>
      <c r="BG91" s="6"/>
      <c r="BH91" s="6"/>
    </row>
    <row r="92" spans="1:60" ht="12.75" x14ac:dyDescent="0.2">
      <c r="A92" s="10"/>
      <c r="B92" s="5"/>
      <c r="C92" s="5"/>
      <c r="D92" s="5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5"/>
      <c r="AM92" s="5"/>
      <c r="AN92" s="5"/>
      <c r="AO92" s="6"/>
      <c r="AP92" s="6"/>
      <c r="AQ92" s="6"/>
      <c r="AR92" s="6"/>
      <c r="AS92" s="5"/>
      <c r="AT92" s="5"/>
      <c r="AU92" s="6"/>
      <c r="AV92" s="6"/>
      <c r="AW92" s="6"/>
      <c r="AX92" s="6"/>
      <c r="AY92" s="6"/>
      <c r="AZ92" s="5"/>
      <c r="BA92" s="5"/>
      <c r="BB92" s="5"/>
      <c r="BC92" s="6"/>
      <c r="BD92" s="6"/>
      <c r="BE92" s="6"/>
      <c r="BF92" s="6"/>
      <c r="BG92" s="6"/>
      <c r="BH92" s="6"/>
    </row>
    <row r="93" spans="1:60" ht="12.75" x14ac:dyDescent="0.2">
      <c r="A93" s="10"/>
      <c r="B93" s="5"/>
      <c r="C93" s="5"/>
      <c r="D93" s="5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5"/>
      <c r="AM93" s="5"/>
      <c r="AN93" s="5"/>
      <c r="AO93" s="6"/>
      <c r="AP93" s="6"/>
      <c r="AQ93" s="6"/>
      <c r="AR93" s="6"/>
      <c r="AS93" s="5"/>
      <c r="AT93" s="5"/>
      <c r="AU93" s="6"/>
      <c r="AV93" s="6"/>
      <c r="AW93" s="6"/>
      <c r="AX93" s="6"/>
      <c r="AY93" s="6"/>
      <c r="AZ93" s="5"/>
      <c r="BA93" s="5"/>
      <c r="BB93" s="5"/>
      <c r="BC93" s="6"/>
      <c r="BD93" s="6"/>
      <c r="BE93" s="6"/>
      <c r="BF93" s="6"/>
      <c r="BG93" s="6"/>
      <c r="BH93" s="6"/>
    </row>
    <row r="94" spans="1:60" ht="12.75" x14ac:dyDescent="0.2">
      <c r="A94" s="10"/>
      <c r="B94" s="5"/>
      <c r="C94" s="5"/>
      <c r="D94" s="5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5"/>
      <c r="AM94" s="5"/>
      <c r="AN94" s="5"/>
      <c r="AO94" s="6"/>
      <c r="AP94" s="6"/>
      <c r="AQ94" s="6"/>
      <c r="AR94" s="6"/>
      <c r="AS94" s="5"/>
      <c r="AT94" s="5"/>
      <c r="AU94" s="6"/>
      <c r="AV94" s="6"/>
      <c r="AW94" s="6"/>
      <c r="AX94" s="6"/>
      <c r="AY94" s="6"/>
      <c r="AZ94" s="5"/>
      <c r="BA94" s="5"/>
      <c r="BB94" s="5"/>
      <c r="BC94" s="6"/>
      <c r="BD94" s="6"/>
      <c r="BE94" s="6"/>
      <c r="BF94" s="6"/>
      <c r="BG94" s="6"/>
      <c r="BH94" s="6"/>
    </row>
    <row r="95" spans="1:60" ht="12.75" x14ac:dyDescent="0.2">
      <c r="A95" s="10"/>
      <c r="B95" s="5"/>
      <c r="C95" s="5"/>
      <c r="D95" s="5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5"/>
      <c r="AM95" s="5"/>
      <c r="AN95" s="5"/>
      <c r="AO95" s="6"/>
      <c r="AP95" s="6"/>
      <c r="AQ95" s="6"/>
      <c r="AR95" s="6"/>
      <c r="AS95" s="5"/>
      <c r="AT95" s="5"/>
      <c r="AU95" s="6"/>
      <c r="AV95" s="6"/>
      <c r="AW95" s="6"/>
      <c r="AX95" s="6"/>
      <c r="AY95" s="6"/>
      <c r="AZ95" s="5"/>
      <c r="BA95" s="5"/>
      <c r="BB95" s="5"/>
      <c r="BC95" s="6"/>
      <c r="BD95" s="6"/>
      <c r="BE95" s="6"/>
      <c r="BF95" s="6"/>
      <c r="BG95" s="6"/>
      <c r="BH95" s="6"/>
    </row>
    <row r="96" spans="1:60" ht="12.75" x14ac:dyDescent="0.2">
      <c r="A96" s="10"/>
      <c r="B96" s="5"/>
      <c r="C96" s="5"/>
      <c r="D96" s="5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5"/>
      <c r="AM96" s="5"/>
      <c r="AN96" s="5"/>
      <c r="AO96" s="6"/>
      <c r="AP96" s="6"/>
      <c r="AQ96" s="6"/>
      <c r="AR96" s="6"/>
      <c r="AS96" s="5"/>
      <c r="AT96" s="5"/>
      <c r="AU96" s="6"/>
      <c r="AV96" s="6"/>
      <c r="AW96" s="6"/>
      <c r="AX96" s="6"/>
      <c r="AY96" s="6"/>
      <c r="AZ96" s="5"/>
      <c r="BA96" s="5"/>
      <c r="BB96" s="5"/>
      <c r="BC96" s="6"/>
      <c r="BD96" s="6"/>
      <c r="BE96" s="6"/>
      <c r="BF96" s="6"/>
      <c r="BG96" s="6"/>
      <c r="BH96" s="6"/>
    </row>
    <row r="97" spans="1:60" ht="12.75" x14ac:dyDescent="0.2">
      <c r="A97" s="10"/>
      <c r="B97" s="5"/>
      <c r="C97" s="5"/>
      <c r="D97" s="5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5"/>
      <c r="AM97" s="5"/>
      <c r="AN97" s="5"/>
      <c r="AO97" s="6"/>
      <c r="AP97" s="6"/>
      <c r="AQ97" s="6"/>
      <c r="AR97" s="6"/>
      <c r="AS97" s="5"/>
      <c r="AT97" s="5"/>
      <c r="AU97" s="6"/>
      <c r="AV97" s="6"/>
      <c r="AW97" s="6"/>
      <c r="AX97" s="6"/>
      <c r="AY97" s="6"/>
      <c r="AZ97" s="5"/>
      <c r="BA97" s="5"/>
      <c r="BB97" s="5"/>
      <c r="BC97" s="6"/>
      <c r="BD97" s="6"/>
      <c r="BE97" s="6"/>
      <c r="BF97" s="6"/>
      <c r="BG97" s="6"/>
      <c r="BH97" s="6"/>
    </row>
    <row r="98" spans="1:60" ht="12.75" x14ac:dyDescent="0.2">
      <c r="A98" s="10"/>
      <c r="B98" s="5"/>
      <c r="C98" s="5"/>
      <c r="D98" s="5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5"/>
      <c r="AM98" s="5"/>
      <c r="AN98" s="5"/>
      <c r="AO98" s="6"/>
      <c r="AP98" s="6"/>
      <c r="AQ98" s="6"/>
      <c r="AR98" s="6"/>
      <c r="AS98" s="5"/>
      <c r="AT98" s="5"/>
      <c r="AU98" s="6"/>
      <c r="AV98" s="6"/>
      <c r="AW98" s="6"/>
      <c r="AX98" s="6"/>
      <c r="AY98" s="6"/>
      <c r="AZ98" s="5"/>
      <c r="BA98" s="5"/>
      <c r="BB98" s="5"/>
      <c r="BC98" s="6"/>
      <c r="BD98" s="6"/>
      <c r="BE98" s="6"/>
      <c r="BF98" s="6"/>
      <c r="BG98" s="6"/>
      <c r="BH98" s="6"/>
    </row>
    <row r="99" spans="1:60" ht="12.75" x14ac:dyDescent="0.2">
      <c r="A99" s="10"/>
      <c r="B99" s="5"/>
      <c r="C99" s="5"/>
      <c r="D99" s="5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5"/>
      <c r="AM99" s="5"/>
      <c r="AN99" s="5"/>
      <c r="AO99" s="6"/>
      <c r="AP99" s="6"/>
      <c r="AQ99" s="6"/>
      <c r="AR99" s="6"/>
      <c r="AS99" s="5"/>
      <c r="AT99" s="5"/>
      <c r="AU99" s="6"/>
      <c r="AV99" s="6"/>
      <c r="AW99" s="6"/>
      <c r="AX99" s="6"/>
      <c r="AY99" s="6"/>
      <c r="AZ99" s="5"/>
      <c r="BA99" s="5"/>
      <c r="BB99" s="5"/>
      <c r="BC99" s="6"/>
      <c r="BD99" s="6"/>
      <c r="BE99" s="6"/>
      <c r="BF99" s="6"/>
      <c r="BG99" s="6"/>
      <c r="BH99" s="6"/>
    </row>
    <row r="100" spans="1:60" ht="12.75" x14ac:dyDescent="0.2">
      <c r="A100" s="10"/>
      <c r="B100" s="5"/>
      <c r="C100" s="5"/>
      <c r="D100" s="5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5"/>
      <c r="AM100" s="5"/>
      <c r="AN100" s="5"/>
      <c r="AO100" s="6"/>
      <c r="AP100" s="6"/>
      <c r="AQ100" s="6"/>
      <c r="AR100" s="6"/>
      <c r="AS100" s="5"/>
      <c r="AT100" s="5"/>
      <c r="AU100" s="6"/>
      <c r="AV100" s="6"/>
      <c r="AW100" s="6"/>
      <c r="AX100" s="6"/>
      <c r="AY100" s="6"/>
      <c r="AZ100" s="5"/>
      <c r="BA100" s="5"/>
      <c r="BB100" s="5"/>
      <c r="BC100" s="6"/>
      <c r="BD100" s="6"/>
      <c r="BE100" s="6"/>
      <c r="BF100" s="6"/>
      <c r="BG100" s="6"/>
      <c r="BH100" s="6"/>
    </row>
    <row r="101" spans="1:60" ht="12.75" x14ac:dyDescent="0.2">
      <c r="A101" s="10"/>
      <c r="B101" s="5"/>
      <c r="C101" s="5"/>
      <c r="D101" s="5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5"/>
      <c r="AM101" s="5"/>
      <c r="AN101" s="5"/>
      <c r="AO101" s="6"/>
      <c r="AP101" s="6"/>
      <c r="AQ101" s="6"/>
      <c r="AR101" s="6"/>
      <c r="AS101" s="5"/>
      <c r="AT101" s="5"/>
      <c r="AU101" s="6"/>
      <c r="AV101" s="6"/>
      <c r="AW101" s="6"/>
      <c r="AX101" s="6"/>
      <c r="AY101" s="6"/>
      <c r="AZ101" s="5"/>
      <c r="BA101" s="5"/>
      <c r="BB101" s="5"/>
      <c r="BC101" s="6"/>
      <c r="BD101" s="6"/>
      <c r="BE101" s="6"/>
      <c r="BF101" s="6"/>
      <c r="BG101" s="6"/>
      <c r="BH101" s="6"/>
    </row>
    <row r="102" spans="1:60" ht="12.75" x14ac:dyDescent="0.2">
      <c r="A102" s="10"/>
      <c r="B102" s="5"/>
      <c r="C102" s="5"/>
      <c r="D102" s="5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5"/>
      <c r="AM102" s="5"/>
      <c r="AN102" s="5"/>
      <c r="AO102" s="6"/>
      <c r="AP102" s="6"/>
      <c r="AQ102" s="6"/>
      <c r="AR102" s="6"/>
      <c r="AS102" s="5"/>
      <c r="AT102" s="5"/>
      <c r="AU102" s="6"/>
      <c r="AV102" s="6"/>
      <c r="AW102" s="6"/>
      <c r="AX102" s="6"/>
      <c r="AY102" s="6"/>
      <c r="AZ102" s="5"/>
      <c r="BA102" s="5"/>
      <c r="BB102" s="5"/>
      <c r="BC102" s="6"/>
      <c r="BD102" s="6"/>
      <c r="BE102" s="6"/>
      <c r="BF102" s="6"/>
      <c r="BG102" s="6"/>
      <c r="BH102" s="6"/>
    </row>
    <row r="103" spans="1:60" ht="12.75" x14ac:dyDescent="0.2">
      <c r="A103" s="10"/>
      <c r="B103" s="5"/>
      <c r="C103" s="5"/>
      <c r="D103" s="5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5"/>
      <c r="AM103" s="5"/>
      <c r="AN103" s="5"/>
      <c r="AO103" s="6"/>
      <c r="AP103" s="6"/>
      <c r="AQ103" s="6"/>
      <c r="AR103" s="6"/>
      <c r="AS103" s="5"/>
      <c r="AT103" s="5"/>
      <c r="AU103" s="6"/>
      <c r="AV103" s="6"/>
      <c r="AW103" s="6"/>
      <c r="AX103" s="6"/>
      <c r="AY103" s="6"/>
      <c r="AZ103" s="5"/>
      <c r="BA103" s="5"/>
      <c r="BB103" s="5"/>
      <c r="BC103" s="6"/>
      <c r="BD103" s="6"/>
      <c r="BE103" s="6"/>
      <c r="BF103" s="6"/>
      <c r="BG103" s="6"/>
      <c r="BH103" s="6"/>
    </row>
    <row r="104" spans="1:60" ht="12.75" x14ac:dyDescent="0.2">
      <c r="A104" s="10"/>
      <c r="B104" s="5"/>
      <c r="C104" s="5"/>
      <c r="D104" s="5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5"/>
      <c r="AM104" s="5"/>
      <c r="AN104" s="5"/>
      <c r="AO104" s="6"/>
      <c r="AP104" s="6"/>
      <c r="AQ104" s="6"/>
      <c r="AR104" s="6"/>
      <c r="AS104" s="5"/>
      <c r="AT104" s="5"/>
      <c r="AU104" s="6"/>
      <c r="AV104" s="6"/>
      <c r="AW104" s="6"/>
      <c r="AX104" s="6"/>
      <c r="AY104" s="6"/>
      <c r="AZ104" s="5"/>
      <c r="BA104" s="5"/>
      <c r="BB104" s="5"/>
      <c r="BC104" s="6"/>
      <c r="BD104" s="6"/>
      <c r="BE104" s="6"/>
      <c r="BF104" s="6"/>
      <c r="BG104" s="6"/>
      <c r="BH104" s="6"/>
    </row>
    <row r="105" spans="1:60" ht="12.75" x14ac:dyDescent="0.2">
      <c r="A105" s="10"/>
      <c r="B105" s="5"/>
      <c r="C105" s="5"/>
      <c r="D105" s="5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5"/>
      <c r="AM105" s="5"/>
      <c r="AN105" s="5"/>
      <c r="AO105" s="6"/>
      <c r="AP105" s="6"/>
      <c r="AQ105" s="6"/>
      <c r="AR105" s="6"/>
      <c r="AS105" s="5"/>
      <c r="AT105" s="5"/>
      <c r="AU105" s="6"/>
      <c r="AV105" s="6"/>
      <c r="AW105" s="6"/>
      <c r="AX105" s="6"/>
      <c r="AY105" s="6"/>
      <c r="AZ105" s="5"/>
      <c r="BA105" s="5"/>
      <c r="BB105" s="5"/>
      <c r="BC105" s="6"/>
      <c r="BD105" s="6"/>
      <c r="BE105" s="6"/>
      <c r="BF105" s="6"/>
      <c r="BG105" s="6"/>
      <c r="BH105" s="6"/>
    </row>
    <row r="106" spans="1:60" ht="12.75" x14ac:dyDescent="0.2">
      <c r="A106" s="10"/>
      <c r="B106" s="5"/>
      <c r="C106" s="5"/>
      <c r="D106" s="5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5"/>
      <c r="AM106" s="5"/>
      <c r="AN106" s="5"/>
      <c r="AO106" s="6"/>
      <c r="AP106" s="6"/>
      <c r="AQ106" s="6"/>
      <c r="AR106" s="6"/>
      <c r="AS106" s="5"/>
      <c r="AT106" s="5"/>
      <c r="AU106" s="6"/>
      <c r="AV106" s="6"/>
      <c r="AW106" s="6"/>
      <c r="AX106" s="6"/>
      <c r="AY106" s="6"/>
      <c r="AZ106" s="5"/>
      <c r="BA106" s="5"/>
      <c r="BB106" s="5"/>
      <c r="BC106" s="6"/>
      <c r="BD106" s="6"/>
      <c r="BE106" s="6"/>
      <c r="BF106" s="6"/>
      <c r="BG106" s="6"/>
      <c r="BH106" s="6"/>
    </row>
    <row r="107" spans="1:60" ht="12.75" x14ac:dyDescent="0.2">
      <c r="A107" s="10"/>
      <c r="B107" s="5"/>
      <c r="C107" s="5"/>
      <c r="D107" s="5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5"/>
      <c r="AM107" s="5"/>
      <c r="AN107" s="5"/>
      <c r="AO107" s="6"/>
      <c r="AP107" s="6"/>
      <c r="AQ107" s="6"/>
      <c r="AR107" s="6"/>
      <c r="AS107" s="5"/>
      <c r="AT107" s="5"/>
      <c r="AU107" s="6"/>
      <c r="AV107" s="6"/>
      <c r="AW107" s="6"/>
      <c r="AX107" s="6"/>
      <c r="AY107" s="6"/>
      <c r="AZ107" s="5"/>
      <c r="BA107" s="5"/>
      <c r="BB107" s="5"/>
      <c r="BC107" s="6"/>
      <c r="BD107" s="6"/>
      <c r="BE107" s="6"/>
      <c r="BF107" s="6"/>
      <c r="BG107" s="6"/>
      <c r="BH107" s="6"/>
    </row>
    <row r="108" spans="1:60" ht="12.75" x14ac:dyDescent="0.2">
      <c r="A108" s="10"/>
      <c r="B108" s="5"/>
      <c r="C108" s="5"/>
      <c r="D108" s="5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5"/>
      <c r="AM108" s="5"/>
      <c r="AN108" s="5"/>
      <c r="AO108" s="6"/>
      <c r="AP108" s="6"/>
      <c r="AQ108" s="6"/>
      <c r="AR108" s="6"/>
      <c r="AS108" s="5"/>
      <c r="AT108" s="5"/>
      <c r="AU108" s="6"/>
      <c r="AV108" s="6"/>
      <c r="AW108" s="6"/>
      <c r="AX108" s="6"/>
      <c r="AY108" s="6"/>
      <c r="AZ108" s="5"/>
      <c r="BA108" s="5"/>
      <c r="BB108" s="5"/>
      <c r="BC108" s="6"/>
      <c r="BD108" s="6"/>
      <c r="BE108" s="6"/>
      <c r="BF108" s="6"/>
      <c r="BG108" s="6"/>
      <c r="BH108" s="6"/>
    </row>
    <row r="109" spans="1:60" ht="12.75" x14ac:dyDescent="0.2">
      <c r="A109" s="10"/>
      <c r="B109" s="5"/>
      <c r="C109" s="5"/>
      <c r="D109" s="5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5"/>
      <c r="AM109" s="5"/>
      <c r="AN109" s="5"/>
      <c r="AO109" s="6"/>
      <c r="AP109" s="6"/>
      <c r="AQ109" s="6"/>
      <c r="AR109" s="6"/>
      <c r="AS109" s="5"/>
      <c r="AT109" s="5"/>
      <c r="AU109" s="6"/>
      <c r="AV109" s="6"/>
      <c r="AW109" s="6"/>
      <c r="AX109" s="6"/>
      <c r="AY109" s="6"/>
      <c r="AZ109" s="5"/>
      <c r="BA109" s="5"/>
      <c r="BB109" s="5"/>
      <c r="BC109" s="6"/>
      <c r="BD109" s="6"/>
      <c r="BE109" s="6"/>
      <c r="BF109" s="6"/>
      <c r="BG109" s="6"/>
      <c r="BH109" s="6"/>
    </row>
    <row r="110" spans="1:60" ht="12.75" x14ac:dyDescent="0.2">
      <c r="A110" s="10"/>
      <c r="B110" s="5"/>
      <c r="C110" s="5"/>
      <c r="D110" s="5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5"/>
      <c r="AM110" s="5"/>
      <c r="AN110" s="5"/>
      <c r="AO110" s="6"/>
      <c r="AP110" s="6"/>
      <c r="AQ110" s="6"/>
      <c r="AR110" s="6"/>
      <c r="AS110" s="5"/>
      <c r="AT110" s="5"/>
      <c r="AU110" s="6"/>
      <c r="AV110" s="6"/>
      <c r="AW110" s="6"/>
      <c r="AX110" s="6"/>
      <c r="AY110" s="6"/>
      <c r="AZ110" s="5"/>
      <c r="BA110" s="5"/>
      <c r="BB110" s="5"/>
      <c r="BC110" s="6"/>
      <c r="BD110" s="6"/>
      <c r="BE110" s="6"/>
      <c r="BF110" s="6"/>
      <c r="BG110" s="6"/>
      <c r="BH110" s="6"/>
    </row>
    <row r="111" spans="1:60" ht="12.75" x14ac:dyDescent="0.2">
      <c r="A111" s="10"/>
      <c r="B111" s="5"/>
      <c r="C111" s="5"/>
      <c r="D111" s="5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5"/>
      <c r="AM111" s="5"/>
      <c r="AN111" s="5"/>
      <c r="AO111" s="6"/>
      <c r="AP111" s="6"/>
      <c r="AQ111" s="6"/>
      <c r="AR111" s="6"/>
      <c r="AS111" s="5"/>
      <c r="AT111" s="5"/>
      <c r="AU111" s="6"/>
      <c r="AV111" s="6"/>
      <c r="AW111" s="6"/>
      <c r="AX111" s="6"/>
      <c r="AY111" s="6"/>
      <c r="AZ111" s="5"/>
      <c r="BA111" s="5"/>
      <c r="BB111" s="5"/>
      <c r="BC111" s="6"/>
      <c r="BD111" s="6"/>
      <c r="BE111" s="6"/>
      <c r="BF111" s="6"/>
      <c r="BG111" s="6"/>
      <c r="BH111" s="6"/>
    </row>
    <row r="112" spans="1:60" ht="12.75" x14ac:dyDescent="0.2">
      <c r="A112" s="10"/>
      <c r="B112" s="5"/>
      <c r="C112" s="5"/>
      <c r="D112" s="5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5"/>
      <c r="AM112" s="5"/>
      <c r="AN112" s="5"/>
      <c r="AO112" s="6"/>
      <c r="AP112" s="6"/>
      <c r="AQ112" s="6"/>
      <c r="AR112" s="6"/>
      <c r="AS112" s="5"/>
      <c r="AT112" s="5"/>
      <c r="AU112" s="6"/>
      <c r="AV112" s="6"/>
      <c r="AW112" s="6"/>
      <c r="AX112" s="6"/>
      <c r="AY112" s="6"/>
      <c r="AZ112" s="5"/>
      <c r="BA112" s="5"/>
      <c r="BB112" s="5"/>
      <c r="BC112" s="6"/>
      <c r="BD112" s="6"/>
      <c r="BE112" s="6"/>
      <c r="BF112" s="6"/>
      <c r="BG112" s="6"/>
      <c r="BH112" s="6"/>
    </row>
    <row r="113" spans="1:60" ht="12.75" x14ac:dyDescent="0.2">
      <c r="A113" s="10"/>
      <c r="B113" s="5"/>
      <c r="C113" s="5"/>
      <c r="D113" s="5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5"/>
      <c r="AM113" s="5"/>
      <c r="AN113" s="5"/>
      <c r="AO113" s="6"/>
      <c r="AP113" s="6"/>
      <c r="AQ113" s="6"/>
      <c r="AR113" s="6"/>
      <c r="AS113" s="5"/>
      <c r="AT113" s="5"/>
      <c r="AU113" s="6"/>
      <c r="AV113" s="6"/>
      <c r="AW113" s="6"/>
      <c r="AX113" s="6"/>
      <c r="AY113" s="6"/>
      <c r="AZ113" s="5"/>
      <c r="BA113" s="5"/>
      <c r="BB113" s="5"/>
      <c r="BC113" s="6"/>
      <c r="BD113" s="6"/>
      <c r="BE113" s="6"/>
      <c r="BF113" s="6"/>
      <c r="BG113" s="6"/>
      <c r="BH113" s="6"/>
    </row>
    <row r="114" spans="1:60" ht="12.75" x14ac:dyDescent="0.2">
      <c r="A114" s="10"/>
      <c r="B114" s="5"/>
      <c r="C114" s="5"/>
      <c r="D114" s="5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5"/>
      <c r="AM114" s="5"/>
      <c r="AN114" s="5"/>
      <c r="AO114" s="6"/>
      <c r="AP114" s="6"/>
      <c r="AQ114" s="6"/>
      <c r="AR114" s="6"/>
      <c r="AS114" s="5"/>
      <c r="AT114" s="5"/>
      <c r="AU114" s="6"/>
      <c r="AV114" s="6"/>
      <c r="AW114" s="6"/>
      <c r="AX114" s="6"/>
      <c r="AY114" s="6"/>
      <c r="AZ114" s="5"/>
      <c r="BA114" s="5"/>
      <c r="BB114" s="5"/>
      <c r="BC114" s="6"/>
      <c r="BD114" s="6"/>
      <c r="BE114" s="6"/>
      <c r="BF114" s="6"/>
      <c r="BG114" s="6"/>
      <c r="BH114" s="6"/>
    </row>
    <row r="115" spans="1:60" ht="12.75" x14ac:dyDescent="0.2">
      <c r="A115" s="10"/>
      <c r="B115" s="5"/>
      <c r="C115" s="5"/>
      <c r="D115" s="5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5"/>
      <c r="AM115" s="5"/>
      <c r="AN115" s="5"/>
      <c r="AO115" s="6"/>
      <c r="AP115" s="6"/>
      <c r="AQ115" s="6"/>
      <c r="AR115" s="6"/>
      <c r="AS115" s="5"/>
      <c r="AT115" s="5"/>
      <c r="AU115" s="6"/>
      <c r="AV115" s="6"/>
      <c r="AW115" s="6"/>
      <c r="AX115" s="6"/>
      <c r="AY115" s="6"/>
      <c r="AZ115" s="5"/>
      <c r="BA115" s="5"/>
      <c r="BB115" s="5"/>
      <c r="BC115" s="6"/>
      <c r="BD115" s="6"/>
      <c r="BE115" s="6"/>
      <c r="BF115" s="6"/>
      <c r="BG115" s="6"/>
      <c r="BH115" s="6"/>
    </row>
    <row r="116" spans="1:60" ht="12.75" x14ac:dyDescent="0.2">
      <c r="A116" s="10"/>
      <c r="B116" s="5"/>
      <c r="C116" s="5"/>
      <c r="D116" s="5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5"/>
      <c r="AM116" s="5"/>
      <c r="AN116" s="5"/>
      <c r="AO116" s="6"/>
      <c r="AP116" s="6"/>
      <c r="AQ116" s="6"/>
      <c r="AR116" s="6"/>
      <c r="AS116" s="5"/>
      <c r="AT116" s="5"/>
      <c r="AU116" s="6"/>
      <c r="AV116" s="6"/>
      <c r="AW116" s="6"/>
      <c r="AX116" s="6"/>
      <c r="AY116" s="6"/>
      <c r="AZ116" s="5"/>
      <c r="BA116" s="5"/>
      <c r="BB116" s="5"/>
      <c r="BC116" s="6"/>
      <c r="BD116" s="6"/>
      <c r="BE116" s="6"/>
      <c r="BF116" s="6"/>
      <c r="BG116" s="6"/>
      <c r="BH116" s="6"/>
    </row>
    <row r="117" spans="1:60" ht="12.75" x14ac:dyDescent="0.2">
      <c r="A117" s="10"/>
      <c r="B117" s="5"/>
      <c r="C117" s="5"/>
      <c r="D117" s="5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5"/>
      <c r="AM117" s="5"/>
      <c r="AN117" s="5"/>
      <c r="AO117" s="6"/>
      <c r="AP117" s="6"/>
      <c r="AQ117" s="6"/>
      <c r="AR117" s="6"/>
      <c r="AS117" s="5"/>
      <c r="AT117" s="5"/>
      <c r="AU117" s="6"/>
      <c r="AV117" s="6"/>
      <c r="AW117" s="6"/>
      <c r="AX117" s="6"/>
      <c r="AY117" s="6"/>
      <c r="AZ117" s="5"/>
      <c r="BA117" s="5"/>
      <c r="BB117" s="5"/>
      <c r="BC117" s="6"/>
      <c r="BD117" s="6"/>
      <c r="BE117" s="6"/>
      <c r="BF117" s="6"/>
      <c r="BG117" s="6"/>
      <c r="BH117" s="6"/>
    </row>
    <row r="118" spans="1:60" ht="12.75" x14ac:dyDescent="0.2">
      <c r="A118" s="10"/>
      <c r="B118" s="5"/>
      <c r="C118" s="5"/>
      <c r="D118" s="5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5"/>
      <c r="AM118" s="5"/>
      <c r="AN118" s="5"/>
      <c r="AO118" s="6"/>
      <c r="AP118" s="6"/>
      <c r="AQ118" s="6"/>
      <c r="AR118" s="6"/>
      <c r="AS118" s="5"/>
      <c r="AT118" s="5"/>
      <c r="AU118" s="6"/>
      <c r="AV118" s="6"/>
      <c r="AW118" s="6"/>
      <c r="AX118" s="6"/>
      <c r="AY118" s="6"/>
      <c r="AZ118" s="5"/>
      <c r="BA118" s="5"/>
      <c r="BB118" s="5"/>
      <c r="BC118" s="6"/>
      <c r="BD118" s="6"/>
      <c r="BE118" s="6"/>
      <c r="BF118" s="6"/>
      <c r="BG118" s="6"/>
      <c r="BH118" s="6"/>
    </row>
    <row r="119" spans="1:60" ht="12.75" x14ac:dyDescent="0.2">
      <c r="A119" s="10"/>
      <c r="B119" s="5"/>
      <c r="C119" s="5"/>
      <c r="D119" s="5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5"/>
      <c r="AM119" s="5"/>
      <c r="AN119" s="5"/>
      <c r="AO119" s="6"/>
      <c r="AP119" s="6"/>
      <c r="AQ119" s="6"/>
      <c r="AR119" s="6"/>
      <c r="AS119" s="5"/>
      <c r="AT119" s="5"/>
      <c r="AU119" s="6"/>
      <c r="AV119" s="6"/>
      <c r="AW119" s="6"/>
      <c r="AX119" s="6"/>
      <c r="AY119" s="6"/>
      <c r="AZ119" s="5"/>
      <c r="BA119" s="5"/>
      <c r="BB119" s="5"/>
      <c r="BC119" s="6"/>
      <c r="BD119" s="6"/>
      <c r="BE119" s="6"/>
      <c r="BF119" s="6"/>
      <c r="BG119" s="6"/>
      <c r="BH119" s="6"/>
    </row>
    <row r="120" spans="1:60" ht="12.75" x14ac:dyDescent="0.2">
      <c r="A120" s="10"/>
      <c r="B120" s="5"/>
      <c r="C120" s="5"/>
      <c r="D120" s="5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5"/>
      <c r="AM120" s="5"/>
      <c r="AN120" s="5"/>
      <c r="AO120" s="6"/>
      <c r="AP120" s="6"/>
      <c r="AQ120" s="6"/>
      <c r="AR120" s="6"/>
      <c r="AS120" s="5"/>
      <c r="AT120" s="5"/>
      <c r="AU120" s="6"/>
      <c r="AV120" s="6"/>
      <c r="AW120" s="6"/>
      <c r="AX120" s="6"/>
      <c r="AY120" s="6"/>
      <c r="AZ120" s="5"/>
      <c r="BA120" s="5"/>
      <c r="BB120" s="5"/>
      <c r="BC120" s="6"/>
      <c r="BD120" s="6"/>
      <c r="BE120" s="6"/>
      <c r="BF120" s="6"/>
      <c r="BG120" s="6"/>
      <c r="BH120" s="6"/>
    </row>
    <row r="121" spans="1:60" ht="12.75" x14ac:dyDescent="0.2">
      <c r="A121" s="10"/>
      <c r="B121" s="5"/>
      <c r="C121" s="5"/>
      <c r="D121" s="5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5"/>
      <c r="AM121" s="5"/>
      <c r="AN121" s="5"/>
      <c r="AO121" s="6"/>
      <c r="AP121" s="6"/>
      <c r="AQ121" s="6"/>
      <c r="AR121" s="6"/>
      <c r="AS121" s="5"/>
      <c r="AT121" s="5"/>
      <c r="AU121" s="6"/>
      <c r="AV121" s="6"/>
      <c r="AW121" s="6"/>
      <c r="AX121" s="6"/>
      <c r="AY121" s="6"/>
      <c r="AZ121" s="5"/>
      <c r="BA121" s="5"/>
      <c r="BB121" s="5"/>
      <c r="BC121" s="6"/>
      <c r="BD121" s="6"/>
      <c r="BE121" s="6"/>
      <c r="BF121" s="6"/>
      <c r="BG121" s="6"/>
      <c r="BH121" s="6"/>
    </row>
    <row r="122" spans="1:60" ht="12.75" x14ac:dyDescent="0.2">
      <c r="A122" s="10"/>
      <c r="B122" s="5"/>
      <c r="C122" s="5"/>
      <c r="D122" s="5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5"/>
      <c r="AM122" s="5"/>
      <c r="AN122" s="5"/>
      <c r="AO122" s="6"/>
      <c r="AP122" s="6"/>
      <c r="AQ122" s="6"/>
      <c r="AR122" s="6"/>
      <c r="AS122" s="5"/>
      <c r="AT122" s="5"/>
      <c r="AU122" s="6"/>
      <c r="AV122" s="6"/>
      <c r="AW122" s="6"/>
      <c r="AX122" s="6"/>
      <c r="AY122" s="6"/>
      <c r="AZ122" s="5"/>
      <c r="BA122" s="5"/>
      <c r="BB122" s="5"/>
      <c r="BC122" s="6"/>
      <c r="BD122" s="6"/>
      <c r="BE122" s="6"/>
      <c r="BF122" s="6"/>
      <c r="BG122" s="6"/>
      <c r="BH122" s="6"/>
    </row>
    <row r="123" spans="1:60" ht="12.75" x14ac:dyDescent="0.2">
      <c r="A123" s="10"/>
      <c r="B123" s="5"/>
      <c r="C123" s="5"/>
      <c r="D123" s="5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5"/>
      <c r="AM123" s="5"/>
      <c r="AN123" s="5"/>
      <c r="AO123" s="6"/>
      <c r="AP123" s="6"/>
      <c r="AQ123" s="6"/>
      <c r="AR123" s="6"/>
      <c r="AS123" s="5"/>
      <c r="AT123" s="5"/>
      <c r="AU123" s="6"/>
      <c r="AV123" s="6"/>
      <c r="AW123" s="6"/>
      <c r="AX123" s="6"/>
      <c r="AY123" s="6"/>
      <c r="AZ123" s="5"/>
      <c r="BA123" s="5"/>
      <c r="BB123" s="5"/>
      <c r="BC123" s="6"/>
      <c r="BD123" s="6"/>
      <c r="BE123" s="6"/>
      <c r="BF123" s="6"/>
      <c r="BG123" s="6"/>
      <c r="BH123" s="6"/>
    </row>
    <row r="124" spans="1:60" ht="12.75" x14ac:dyDescent="0.2">
      <c r="A124" s="10"/>
      <c r="B124" s="5"/>
      <c r="C124" s="5"/>
      <c r="D124" s="5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5"/>
      <c r="AM124" s="5"/>
      <c r="AN124" s="5"/>
      <c r="AO124" s="6"/>
      <c r="AP124" s="6"/>
      <c r="AQ124" s="6"/>
      <c r="AR124" s="6"/>
      <c r="AS124" s="5"/>
      <c r="AT124" s="5"/>
      <c r="AU124" s="6"/>
      <c r="AV124" s="6"/>
      <c r="AW124" s="6"/>
      <c r="AX124" s="6"/>
      <c r="AY124" s="6"/>
      <c r="AZ124" s="5"/>
      <c r="BA124" s="5"/>
      <c r="BB124" s="5"/>
      <c r="BC124" s="6"/>
      <c r="BD124" s="6"/>
      <c r="BE124" s="6"/>
      <c r="BF124" s="6"/>
      <c r="BG124" s="6"/>
      <c r="BH124" s="6"/>
    </row>
    <row r="125" spans="1:60" ht="12.75" x14ac:dyDescent="0.2">
      <c r="A125" s="10"/>
      <c r="B125" s="5"/>
      <c r="C125" s="5"/>
      <c r="D125" s="5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5"/>
      <c r="AM125" s="5"/>
      <c r="AN125" s="5"/>
      <c r="AO125" s="6"/>
      <c r="AP125" s="6"/>
      <c r="AQ125" s="6"/>
      <c r="AR125" s="6"/>
      <c r="AS125" s="5"/>
      <c r="AT125" s="5"/>
      <c r="AU125" s="6"/>
      <c r="AV125" s="6"/>
      <c r="AW125" s="6"/>
      <c r="AX125" s="6"/>
      <c r="AY125" s="6"/>
      <c r="AZ125" s="5"/>
      <c r="BA125" s="5"/>
      <c r="BB125" s="5"/>
      <c r="BC125" s="6"/>
      <c r="BD125" s="6"/>
      <c r="BE125" s="6"/>
      <c r="BF125" s="6"/>
      <c r="BG125" s="6"/>
      <c r="BH125" s="6"/>
    </row>
    <row r="126" spans="1:60" ht="12.75" x14ac:dyDescent="0.2">
      <c r="A126" s="10"/>
      <c r="B126" s="5"/>
      <c r="C126" s="5"/>
      <c r="D126" s="5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5"/>
      <c r="AM126" s="5"/>
      <c r="AN126" s="5"/>
      <c r="AO126" s="6"/>
      <c r="AP126" s="6"/>
      <c r="AQ126" s="6"/>
      <c r="AR126" s="6"/>
      <c r="AS126" s="5"/>
      <c r="AT126" s="5"/>
      <c r="AU126" s="6"/>
      <c r="AV126" s="6"/>
      <c r="AW126" s="6"/>
      <c r="AX126" s="6"/>
      <c r="AY126" s="6"/>
      <c r="AZ126" s="5"/>
      <c r="BA126" s="5"/>
      <c r="BB126" s="5"/>
      <c r="BC126" s="6"/>
      <c r="BD126" s="6"/>
      <c r="BE126" s="6"/>
      <c r="BF126" s="6"/>
      <c r="BG126" s="6"/>
      <c r="BH126" s="6"/>
    </row>
    <row r="127" spans="1:60" ht="12.75" x14ac:dyDescent="0.2">
      <c r="A127" s="10"/>
      <c r="B127" s="5"/>
      <c r="C127" s="5"/>
      <c r="D127" s="5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5"/>
      <c r="AM127" s="5"/>
      <c r="AN127" s="5"/>
      <c r="AO127" s="6"/>
      <c r="AP127" s="6"/>
      <c r="AQ127" s="6"/>
      <c r="AR127" s="6"/>
      <c r="AS127" s="5"/>
      <c r="AT127" s="5"/>
      <c r="AU127" s="6"/>
      <c r="AV127" s="6"/>
      <c r="AW127" s="6"/>
      <c r="AX127" s="6"/>
      <c r="AY127" s="6"/>
      <c r="AZ127" s="5"/>
      <c r="BA127" s="5"/>
      <c r="BB127" s="5"/>
      <c r="BC127" s="6"/>
      <c r="BD127" s="6"/>
      <c r="BE127" s="6"/>
      <c r="BF127" s="6"/>
      <c r="BG127" s="6"/>
      <c r="BH127" s="6"/>
    </row>
    <row r="128" spans="1:60" ht="12.75" x14ac:dyDescent="0.2">
      <c r="A128" s="10"/>
      <c r="B128" s="5"/>
      <c r="C128" s="5"/>
      <c r="D128" s="5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5"/>
      <c r="AM128" s="5"/>
      <c r="AN128" s="5"/>
      <c r="AO128" s="6"/>
      <c r="AP128" s="6"/>
      <c r="AQ128" s="6"/>
      <c r="AR128" s="6"/>
      <c r="AS128" s="5"/>
      <c r="AT128" s="5"/>
      <c r="AU128" s="6"/>
      <c r="AV128" s="6"/>
      <c r="AW128" s="6"/>
      <c r="AX128" s="6"/>
      <c r="AY128" s="6"/>
      <c r="AZ128" s="5"/>
      <c r="BA128" s="5"/>
      <c r="BB128" s="5"/>
      <c r="BC128" s="6"/>
      <c r="BD128" s="6"/>
      <c r="BE128" s="6"/>
      <c r="BF128" s="6"/>
      <c r="BG128" s="6"/>
      <c r="BH128" s="6"/>
    </row>
    <row r="129" spans="1:60" ht="12.75" x14ac:dyDescent="0.2">
      <c r="A129" s="10"/>
      <c r="B129" s="5"/>
      <c r="C129" s="5"/>
      <c r="D129" s="5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5"/>
      <c r="AM129" s="5"/>
      <c r="AN129" s="5"/>
      <c r="AO129" s="6"/>
      <c r="AP129" s="6"/>
      <c r="AQ129" s="6"/>
      <c r="AR129" s="6"/>
      <c r="AS129" s="5"/>
      <c r="AT129" s="5"/>
      <c r="AU129" s="6"/>
      <c r="AV129" s="6"/>
      <c r="AW129" s="6"/>
      <c r="AX129" s="6"/>
      <c r="AY129" s="6"/>
      <c r="AZ129" s="5"/>
      <c r="BA129" s="5"/>
      <c r="BB129" s="5"/>
      <c r="BC129" s="6"/>
      <c r="BD129" s="6"/>
      <c r="BE129" s="6"/>
      <c r="BF129" s="6"/>
      <c r="BG129" s="6"/>
      <c r="BH129" s="6"/>
    </row>
    <row r="130" spans="1:60" ht="12.75" x14ac:dyDescent="0.2">
      <c r="A130" s="10"/>
      <c r="B130" s="5"/>
      <c r="C130" s="5"/>
      <c r="D130" s="5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5"/>
      <c r="AM130" s="5"/>
      <c r="AN130" s="5"/>
      <c r="AO130" s="6"/>
      <c r="AP130" s="6"/>
      <c r="AQ130" s="6"/>
      <c r="AR130" s="6"/>
      <c r="AS130" s="5"/>
      <c r="AT130" s="5"/>
      <c r="AU130" s="6"/>
      <c r="AV130" s="6"/>
      <c r="AW130" s="6"/>
      <c r="AX130" s="6"/>
      <c r="AY130" s="6"/>
      <c r="AZ130" s="5"/>
      <c r="BA130" s="5"/>
      <c r="BB130" s="5"/>
      <c r="BC130" s="6"/>
      <c r="BD130" s="6"/>
      <c r="BE130" s="6"/>
      <c r="BF130" s="6"/>
      <c r="BG130" s="6"/>
      <c r="BH130" s="6"/>
    </row>
    <row r="131" spans="1:60" ht="12.75" x14ac:dyDescent="0.2">
      <c r="A131" s="10"/>
      <c r="B131" s="5"/>
      <c r="C131" s="5"/>
      <c r="D131" s="5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5"/>
      <c r="AM131" s="5"/>
      <c r="AN131" s="5"/>
      <c r="AO131" s="6"/>
      <c r="AP131" s="6"/>
      <c r="AQ131" s="6"/>
      <c r="AR131" s="6"/>
      <c r="AS131" s="5"/>
      <c r="AT131" s="5"/>
      <c r="AU131" s="6"/>
      <c r="AV131" s="6"/>
      <c r="AW131" s="6"/>
      <c r="AX131" s="6"/>
      <c r="AY131" s="6"/>
      <c r="AZ131" s="5"/>
      <c r="BA131" s="5"/>
      <c r="BB131" s="5"/>
      <c r="BC131" s="6"/>
      <c r="BD131" s="6"/>
      <c r="BE131" s="6"/>
      <c r="BF131" s="6"/>
      <c r="BG131" s="6"/>
      <c r="BH131" s="6"/>
    </row>
    <row r="132" spans="1:60" ht="12.75" x14ac:dyDescent="0.2">
      <c r="A132" s="10"/>
      <c r="B132" s="5"/>
      <c r="C132" s="5"/>
      <c r="D132" s="5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5"/>
      <c r="AM132" s="5"/>
      <c r="AN132" s="5"/>
      <c r="AO132" s="6"/>
      <c r="AP132" s="6"/>
      <c r="AQ132" s="6"/>
      <c r="AR132" s="6"/>
      <c r="AS132" s="5"/>
      <c r="AT132" s="5"/>
      <c r="AU132" s="6"/>
      <c r="AV132" s="6"/>
      <c r="AW132" s="6"/>
      <c r="AX132" s="6"/>
      <c r="AY132" s="6"/>
      <c r="AZ132" s="5"/>
      <c r="BA132" s="5"/>
      <c r="BB132" s="5"/>
      <c r="BC132" s="6"/>
      <c r="BD132" s="6"/>
      <c r="BE132" s="6"/>
      <c r="BF132" s="6"/>
      <c r="BG132" s="6"/>
      <c r="BH132" s="6"/>
    </row>
    <row r="133" spans="1:60" ht="12.75" x14ac:dyDescent="0.2">
      <c r="A133" s="10"/>
      <c r="B133" s="5"/>
      <c r="C133" s="5"/>
      <c r="D133" s="5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5"/>
      <c r="AM133" s="5"/>
      <c r="AN133" s="5"/>
      <c r="AO133" s="6"/>
      <c r="AP133" s="6"/>
      <c r="AQ133" s="6"/>
      <c r="AR133" s="6"/>
      <c r="AS133" s="5"/>
      <c r="AT133" s="5"/>
      <c r="AU133" s="6"/>
      <c r="AV133" s="6"/>
      <c r="AW133" s="6"/>
      <c r="AX133" s="6"/>
      <c r="AY133" s="6"/>
      <c r="AZ133" s="5"/>
      <c r="BA133" s="5"/>
      <c r="BB133" s="5"/>
      <c r="BC133" s="6"/>
      <c r="BD133" s="6"/>
      <c r="BE133" s="6"/>
      <c r="BF133" s="6"/>
      <c r="BG133" s="6"/>
      <c r="BH133" s="6"/>
    </row>
    <row r="134" spans="1:60" ht="12.75" x14ac:dyDescent="0.2">
      <c r="A134" s="10"/>
      <c r="B134" s="5"/>
      <c r="C134" s="5"/>
      <c r="D134" s="5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5"/>
      <c r="AM134" s="5"/>
      <c r="AN134" s="5"/>
      <c r="AO134" s="6"/>
      <c r="AP134" s="6"/>
      <c r="AQ134" s="6"/>
      <c r="AR134" s="6"/>
      <c r="AS134" s="5"/>
      <c r="AT134" s="5"/>
      <c r="AU134" s="6"/>
      <c r="AV134" s="6"/>
      <c r="AW134" s="6"/>
      <c r="AX134" s="6"/>
      <c r="AY134" s="6"/>
      <c r="AZ134" s="5"/>
      <c r="BA134" s="5"/>
      <c r="BB134" s="5"/>
      <c r="BC134" s="6"/>
      <c r="BD134" s="6"/>
      <c r="BE134" s="6"/>
      <c r="BF134" s="6"/>
      <c r="BG134" s="6"/>
      <c r="BH134" s="6"/>
    </row>
    <row r="135" spans="1:60" ht="12.75" x14ac:dyDescent="0.2">
      <c r="A135" s="10"/>
      <c r="B135" s="5"/>
      <c r="C135" s="5"/>
      <c r="D135" s="5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5"/>
      <c r="AM135" s="5"/>
      <c r="AN135" s="5"/>
      <c r="AO135" s="6"/>
      <c r="AP135" s="6"/>
      <c r="AQ135" s="6"/>
      <c r="AR135" s="6"/>
      <c r="AS135" s="5"/>
      <c r="AT135" s="5"/>
      <c r="AU135" s="6"/>
      <c r="AV135" s="6"/>
      <c r="AW135" s="6"/>
      <c r="AX135" s="6"/>
      <c r="AY135" s="6"/>
      <c r="AZ135" s="5"/>
      <c r="BA135" s="5"/>
      <c r="BB135" s="5"/>
      <c r="BC135" s="6"/>
      <c r="BD135" s="6"/>
      <c r="BE135" s="6"/>
      <c r="BF135" s="6"/>
      <c r="BG135" s="6"/>
      <c r="BH135" s="6"/>
    </row>
    <row r="136" spans="1:60" ht="12.75" x14ac:dyDescent="0.2">
      <c r="A136" s="10"/>
      <c r="B136" s="5"/>
      <c r="C136" s="5"/>
      <c r="D136" s="5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5"/>
      <c r="AM136" s="5"/>
      <c r="AN136" s="5"/>
      <c r="AO136" s="6"/>
      <c r="AP136" s="6"/>
      <c r="AQ136" s="6"/>
      <c r="AR136" s="6"/>
      <c r="AS136" s="5"/>
      <c r="AT136" s="5"/>
      <c r="AU136" s="6"/>
      <c r="AV136" s="6"/>
      <c r="AW136" s="6"/>
      <c r="AX136" s="6"/>
      <c r="AY136" s="6"/>
      <c r="AZ136" s="5"/>
      <c r="BA136" s="5"/>
      <c r="BB136" s="5"/>
      <c r="BC136" s="6"/>
      <c r="BD136" s="6"/>
      <c r="BE136" s="6"/>
      <c r="BF136" s="6"/>
      <c r="BG136" s="6"/>
      <c r="BH136" s="6"/>
    </row>
    <row r="137" spans="1:60" ht="12.75" x14ac:dyDescent="0.2">
      <c r="A137" s="10"/>
      <c r="B137" s="5"/>
      <c r="C137" s="5"/>
      <c r="D137" s="5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5"/>
      <c r="AM137" s="5"/>
      <c r="AN137" s="5"/>
      <c r="AO137" s="6"/>
      <c r="AP137" s="6"/>
      <c r="AQ137" s="6"/>
      <c r="AR137" s="6"/>
      <c r="AS137" s="5"/>
      <c r="AT137" s="5"/>
      <c r="AU137" s="6"/>
      <c r="AV137" s="6"/>
      <c r="AW137" s="6"/>
      <c r="AX137" s="6"/>
      <c r="AY137" s="6"/>
      <c r="AZ137" s="5"/>
      <c r="BA137" s="5"/>
      <c r="BB137" s="5"/>
      <c r="BC137" s="6"/>
      <c r="BD137" s="6"/>
      <c r="BE137" s="6"/>
      <c r="BF137" s="6"/>
      <c r="BG137" s="6"/>
      <c r="BH137" s="6"/>
    </row>
    <row r="138" spans="1:60" ht="12.75" x14ac:dyDescent="0.2">
      <c r="A138" s="10"/>
      <c r="B138" s="5"/>
      <c r="C138" s="5"/>
      <c r="D138" s="5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5"/>
      <c r="AM138" s="5"/>
      <c r="AN138" s="5"/>
      <c r="AO138" s="6"/>
      <c r="AP138" s="6"/>
      <c r="AQ138" s="6"/>
      <c r="AR138" s="6"/>
      <c r="AS138" s="5"/>
      <c r="AT138" s="5"/>
      <c r="AU138" s="6"/>
      <c r="AV138" s="6"/>
      <c r="AW138" s="6"/>
      <c r="AX138" s="6"/>
      <c r="AY138" s="6"/>
      <c r="AZ138" s="5"/>
      <c r="BA138" s="5"/>
      <c r="BB138" s="5"/>
      <c r="BC138" s="6"/>
      <c r="BD138" s="6"/>
      <c r="BE138" s="6"/>
      <c r="BF138" s="6"/>
      <c r="BG138" s="6"/>
      <c r="BH138" s="6"/>
    </row>
    <row r="139" spans="1:60" ht="12.75" x14ac:dyDescent="0.2">
      <c r="A139" s="10"/>
      <c r="B139" s="5"/>
      <c r="C139" s="5"/>
      <c r="D139" s="5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5"/>
      <c r="AM139" s="5"/>
      <c r="AN139" s="5"/>
      <c r="AO139" s="6"/>
      <c r="AP139" s="6"/>
      <c r="AQ139" s="6"/>
      <c r="AR139" s="6"/>
      <c r="AS139" s="5"/>
      <c r="AT139" s="5"/>
      <c r="AU139" s="6"/>
      <c r="AV139" s="6"/>
      <c r="AW139" s="6"/>
      <c r="AX139" s="6"/>
      <c r="AY139" s="6"/>
      <c r="AZ139" s="5"/>
      <c r="BA139" s="5"/>
      <c r="BB139" s="5"/>
      <c r="BC139" s="6"/>
      <c r="BD139" s="6"/>
      <c r="BE139" s="6"/>
      <c r="BF139" s="6"/>
      <c r="BG139" s="6"/>
      <c r="BH139" s="6"/>
    </row>
    <row r="140" spans="1:60" ht="12.75" x14ac:dyDescent="0.2">
      <c r="A140" s="10"/>
      <c r="B140" s="5"/>
      <c r="C140" s="5"/>
      <c r="D140" s="5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5"/>
      <c r="AM140" s="5"/>
      <c r="AN140" s="5"/>
      <c r="AO140" s="6"/>
      <c r="AP140" s="6"/>
      <c r="AQ140" s="6"/>
      <c r="AR140" s="6"/>
      <c r="AS140" s="5"/>
      <c r="AT140" s="5"/>
      <c r="AU140" s="6"/>
      <c r="AV140" s="6"/>
      <c r="AW140" s="6"/>
      <c r="AX140" s="6"/>
      <c r="AY140" s="6"/>
      <c r="AZ140" s="5"/>
      <c r="BA140" s="5"/>
      <c r="BB140" s="5"/>
      <c r="BC140" s="6"/>
      <c r="BD140" s="6"/>
      <c r="BE140" s="6"/>
      <c r="BF140" s="6"/>
      <c r="BG140" s="6"/>
      <c r="BH140" s="6"/>
    </row>
    <row r="141" spans="1:60" ht="12.75" x14ac:dyDescent="0.2">
      <c r="A141" s="10"/>
      <c r="B141" s="5"/>
      <c r="C141" s="5"/>
      <c r="D141" s="5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5"/>
      <c r="AM141" s="5"/>
      <c r="AN141" s="5"/>
      <c r="AO141" s="6"/>
      <c r="AP141" s="6"/>
      <c r="AQ141" s="6"/>
      <c r="AR141" s="6"/>
      <c r="AS141" s="5"/>
      <c r="AT141" s="5"/>
      <c r="AU141" s="6"/>
      <c r="AV141" s="6"/>
      <c r="AW141" s="6"/>
      <c r="AX141" s="6"/>
      <c r="AY141" s="6"/>
      <c r="AZ141" s="5"/>
      <c r="BA141" s="5"/>
      <c r="BB141" s="5"/>
      <c r="BC141" s="6"/>
      <c r="BD141" s="6"/>
      <c r="BE141" s="6"/>
      <c r="BF141" s="6"/>
      <c r="BG141" s="6"/>
      <c r="BH141" s="6"/>
    </row>
    <row r="142" spans="1:60" ht="12.75" x14ac:dyDescent="0.2">
      <c r="A142" s="10"/>
      <c r="B142" s="5"/>
      <c r="C142" s="5"/>
      <c r="D142" s="5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5"/>
      <c r="AM142" s="5"/>
      <c r="AN142" s="5"/>
      <c r="AO142" s="6"/>
      <c r="AP142" s="6"/>
      <c r="AQ142" s="6"/>
      <c r="AR142" s="6"/>
      <c r="AS142" s="5"/>
      <c r="AT142" s="5"/>
      <c r="AU142" s="6"/>
      <c r="AV142" s="6"/>
      <c r="AW142" s="6"/>
      <c r="AX142" s="6"/>
      <c r="AY142" s="6"/>
      <c r="AZ142" s="5"/>
      <c r="BA142" s="5"/>
      <c r="BB142" s="5"/>
      <c r="BC142" s="6"/>
      <c r="BD142" s="6"/>
      <c r="BE142" s="6"/>
      <c r="BF142" s="6"/>
      <c r="BG142" s="6"/>
      <c r="BH142" s="6"/>
    </row>
    <row r="143" spans="1:60" ht="12.75" x14ac:dyDescent="0.2">
      <c r="A143" s="10"/>
      <c r="B143" s="5"/>
      <c r="C143" s="5"/>
      <c r="D143" s="5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5"/>
      <c r="AM143" s="5"/>
      <c r="AN143" s="5"/>
      <c r="AO143" s="6"/>
      <c r="AP143" s="6"/>
      <c r="AQ143" s="6"/>
      <c r="AR143" s="6"/>
      <c r="AS143" s="5"/>
      <c r="AT143" s="5"/>
      <c r="AU143" s="6"/>
      <c r="AV143" s="6"/>
      <c r="AW143" s="6"/>
      <c r="AX143" s="6"/>
      <c r="AY143" s="6"/>
      <c r="AZ143" s="5"/>
      <c r="BA143" s="5"/>
      <c r="BB143" s="5"/>
      <c r="BC143" s="6"/>
      <c r="BD143" s="6"/>
      <c r="BE143" s="6"/>
      <c r="BF143" s="6"/>
      <c r="BG143" s="6"/>
      <c r="BH143" s="6"/>
    </row>
    <row r="144" spans="1:60" ht="12.75" x14ac:dyDescent="0.2">
      <c r="A144" s="10"/>
      <c r="B144" s="5"/>
      <c r="C144" s="5"/>
      <c r="D144" s="5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5"/>
      <c r="AM144" s="5"/>
      <c r="AN144" s="5"/>
      <c r="AO144" s="6"/>
      <c r="AP144" s="6"/>
      <c r="AQ144" s="6"/>
      <c r="AR144" s="6"/>
      <c r="AS144" s="5"/>
      <c r="AT144" s="5"/>
      <c r="AU144" s="6"/>
      <c r="AV144" s="6"/>
      <c r="AW144" s="6"/>
      <c r="AX144" s="6"/>
      <c r="AY144" s="6"/>
      <c r="AZ144" s="5"/>
      <c r="BA144" s="5"/>
      <c r="BB144" s="5"/>
      <c r="BC144" s="6"/>
      <c r="BD144" s="6"/>
      <c r="BE144" s="6"/>
      <c r="BF144" s="6"/>
      <c r="BG144" s="6"/>
      <c r="BH144" s="6"/>
    </row>
    <row r="145" spans="1:60" ht="12.75" x14ac:dyDescent="0.2">
      <c r="A145" s="10"/>
      <c r="B145" s="5"/>
      <c r="C145" s="5"/>
      <c r="D145" s="5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5"/>
      <c r="AM145" s="5"/>
      <c r="AN145" s="5"/>
      <c r="AO145" s="6"/>
      <c r="AP145" s="6"/>
      <c r="AQ145" s="6"/>
      <c r="AR145" s="6"/>
      <c r="AS145" s="5"/>
      <c r="AT145" s="5"/>
      <c r="AU145" s="6"/>
      <c r="AV145" s="6"/>
      <c r="AW145" s="6"/>
      <c r="AX145" s="6"/>
      <c r="AY145" s="6"/>
      <c r="AZ145" s="5"/>
      <c r="BA145" s="5"/>
      <c r="BB145" s="5"/>
      <c r="BC145" s="6"/>
      <c r="BD145" s="6"/>
      <c r="BE145" s="6"/>
      <c r="BF145" s="6"/>
      <c r="BG145" s="6"/>
      <c r="BH145" s="6"/>
    </row>
    <row r="146" spans="1:60" ht="12.75" x14ac:dyDescent="0.2">
      <c r="A146" s="10"/>
      <c r="B146" s="5"/>
      <c r="C146" s="5"/>
      <c r="D146" s="5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5"/>
      <c r="AM146" s="5"/>
      <c r="AN146" s="5"/>
      <c r="AO146" s="6"/>
      <c r="AP146" s="6"/>
      <c r="AQ146" s="6"/>
      <c r="AR146" s="6"/>
      <c r="AS146" s="5"/>
      <c r="AT146" s="5"/>
      <c r="AU146" s="6"/>
      <c r="AV146" s="6"/>
      <c r="AW146" s="6"/>
      <c r="AX146" s="9"/>
      <c r="AY146" s="6"/>
      <c r="AZ146" s="5"/>
      <c r="BA146" s="5"/>
      <c r="BB146" s="5"/>
      <c r="BC146" s="6"/>
      <c r="BD146" s="6"/>
      <c r="BE146" s="6"/>
      <c r="BF146" s="6"/>
      <c r="BG146" s="6"/>
      <c r="BH146" s="6"/>
    </row>
    <row r="147" spans="1:60" ht="12.75" x14ac:dyDescent="0.2">
      <c r="A147" s="10"/>
      <c r="B147" s="5"/>
      <c r="C147" s="5"/>
      <c r="D147" s="5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5"/>
      <c r="AM147" s="5"/>
      <c r="AN147" s="5"/>
      <c r="AO147" s="6"/>
      <c r="AP147" s="6"/>
      <c r="AQ147" s="6"/>
      <c r="AR147" s="6"/>
      <c r="AS147" s="5"/>
      <c r="AT147" s="5"/>
      <c r="AU147" s="6"/>
      <c r="AV147" s="6"/>
      <c r="AW147" s="6"/>
      <c r="AX147" s="6"/>
      <c r="AY147" s="6"/>
      <c r="AZ147" s="5"/>
      <c r="BA147" s="5"/>
      <c r="BB147" s="5"/>
      <c r="BC147" s="6"/>
      <c r="BD147" s="6"/>
      <c r="BE147" s="6"/>
      <c r="BF147" s="6"/>
      <c r="BG147" s="6"/>
      <c r="BH147" s="6"/>
    </row>
    <row r="148" spans="1:60" ht="12.75" x14ac:dyDescent="0.2">
      <c r="A148" s="10"/>
      <c r="B148" s="5"/>
      <c r="C148" s="5"/>
      <c r="D148" s="5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5"/>
      <c r="AM148" s="5"/>
      <c r="AN148" s="5"/>
      <c r="AO148" s="6"/>
      <c r="AP148" s="6"/>
      <c r="AQ148" s="6"/>
      <c r="AR148" s="6"/>
      <c r="AS148" s="5"/>
      <c r="AT148" s="5"/>
      <c r="AU148" s="6"/>
      <c r="AV148" s="6"/>
      <c r="AW148" s="6"/>
      <c r="AX148" s="6"/>
      <c r="AY148" s="6"/>
      <c r="AZ148" s="5"/>
      <c r="BA148" s="5"/>
      <c r="BB148" s="5"/>
      <c r="BC148" s="6"/>
      <c r="BD148" s="6"/>
      <c r="BE148" s="6"/>
      <c r="BF148" s="6"/>
      <c r="BG148" s="6"/>
      <c r="BH148" s="6"/>
    </row>
    <row r="149" spans="1:60" ht="12.75" x14ac:dyDescent="0.2">
      <c r="A149" s="10"/>
      <c r="B149" s="5"/>
      <c r="C149" s="5"/>
      <c r="D149" s="5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5"/>
      <c r="AM149" s="5"/>
      <c r="AN149" s="5"/>
      <c r="AO149" s="6"/>
      <c r="AP149" s="6"/>
      <c r="AQ149" s="6"/>
      <c r="AR149" s="6"/>
      <c r="AS149" s="5"/>
      <c r="AT149" s="5"/>
      <c r="AU149" s="6"/>
      <c r="AV149" s="6"/>
      <c r="AW149" s="6"/>
      <c r="AX149" s="6"/>
      <c r="AY149" s="6"/>
      <c r="AZ149" s="5"/>
      <c r="BA149" s="5"/>
      <c r="BB149" s="5"/>
      <c r="BC149" s="6"/>
      <c r="BD149" s="6"/>
      <c r="BE149" s="6"/>
      <c r="BF149" s="6"/>
      <c r="BG149" s="6"/>
      <c r="BH149" s="6"/>
    </row>
    <row r="150" spans="1:60" ht="12.75" x14ac:dyDescent="0.2">
      <c r="A150" s="10"/>
      <c r="B150" s="5"/>
      <c r="C150" s="5"/>
      <c r="D150" s="5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5"/>
      <c r="AM150" s="5"/>
      <c r="AN150" s="5"/>
      <c r="AO150" s="6"/>
      <c r="AP150" s="6"/>
      <c r="AQ150" s="6"/>
      <c r="AR150" s="6"/>
      <c r="AS150" s="5"/>
      <c r="AT150" s="5"/>
      <c r="AU150" s="6"/>
      <c r="AV150" s="6"/>
      <c r="AW150" s="6"/>
      <c r="AX150" s="6"/>
      <c r="AY150" s="6"/>
      <c r="AZ150" s="5"/>
      <c r="BA150" s="5"/>
      <c r="BB150" s="5"/>
      <c r="BC150" s="6"/>
      <c r="BD150" s="6"/>
      <c r="BE150" s="6"/>
      <c r="BF150" s="6"/>
      <c r="BG150" s="6"/>
      <c r="BH150" s="6"/>
    </row>
    <row r="151" spans="1:60" ht="12.75" x14ac:dyDescent="0.2">
      <c r="A151" s="10"/>
      <c r="B151" s="5"/>
      <c r="C151" s="5"/>
      <c r="D151" s="5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5"/>
      <c r="AM151" s="5"/>
      <c r="AN151" s="5"/>
      <c r="AO151" s="6"/>
      <c r="AP151" s="6"/>
      <c r="AQ151" s="6"/>
      <c r="AR151" s="6"/>
      <c r="AS151" s="5"/>
      <c r="AT151" s="5"/>
      <c r="AU151" s="6"/>
      <c r="AV151" s="6"/>
      <c r="AW151" s="6"/>
      <c r="AX151" s="6"/>
      <c r="AY151" s="6"/>
      <c r="AZ151" s="5"/>
      <c r="BA151" s="5"/>
      <c r="BB151" s="5"/>
      <c r="BC151" s="6"/>
      <c r="BD151" s="6"/>
      <c r="BE151" s="6"/>
      <c r="BF151" s="6"/>
      <c r="BG151" s="6"/>
      <c r="BH151" s="6"/>
    </row>
    <row r="152" spans="1:60" ht="12.75" x14ac:dyDescent="0.2">
      <c r="A152" s="2"/>
    </row>
    <row r="153" spans="1:60" ht="12.75" x14ac:dyDescent="0.2">
      <c r="A153" s="2"/>
    </row>
    <row r="154" spans="1:60" ht="12.75" x14ac:dyDescent="0.2">
      <c r="A154" s="2"/>
    </row>
    <row r="155" spans="1:60" ht="12.75" x14ac:dyDescent="0.2">
      <c r="A155" s="2"/>
    </row>
    <row r="156" spans="1:60" ht="12.75" x14ac:dyDescent="0.2">
      <c r="A156" s="2"/>
    </row>
    <row r="157" spans="1:60" ht="12.75" x14ac:dyDescent="0.2">
      <c r="A157" s="2"/>
    </row>
    <row r="158" spans="1:60" ht="12.75" x14ac:dyDescent="0.2">
      <c r="A158" s="2"/>
    </row>
    <row r="159" spans="1:60" ht="12.75" x14ac:dyDescent="0.2">
      <c r="A159" s="2"/>
    </row>
    <row r="160" spans="1:60" ht="12.75" x14ac:dyDescent="0.2">
      <c r="A160" s="2"/>
    </row>
    <row r="161" spans="1:1" ht="12.75" x14ac:dyDescent="0.2">
      <c r="A161" s="2"/>
    </row>
    <row r="162" spans="1:1" ht="12.75" x14ac:dyDescent="0.2">
      <c r="A162" s="2"/>
    </row>
    <row r="163" spans="1:1" ht="12.75" x14ac:dyDescent="0.2">
      <c r="A163" s="2"/>
    </row>
    <row r="164" spans="1:1" ht="12.75" x14ac:dyDescent="0.2">
      <c r="A164" s="2"/>
    </row>
    <row r="165" spans="1:1" ht="12.75" x14ac:dyDescent="0.2">
      <c r="A165" s="2"/>
    </row>
    <row r="166" spans="1:1" ht="12.75" x14ac:dyDescent="0.2">
      <c r="A166" s="2"/>
    </row>
    <row r="167" spans="1:1" ht="12.75" x14ac:dyDescent="0.2">
      <c r="A167" s="2"/>
    </row>
    <row r="168" spans="1:1" ht="12.75" x14ac:dyDescent="0.2">
      <c r="A168" s="2"/>
    </row>
    <row r="169" spans="1:1" ht="12.75" x14ac:dyDescent="0.2">
      <c r="A169" s="2"/>
    </row>
    <row r="170" spans="1:1" ht="12.75" x14ac:dyDescent="0.2">
      <c r="A170" s="2"/>
    </row>
    <row r="171" spans="1:1" ht="12.75" x14ac:dyDescent="0.2">
      <c r="A171" s="2"/>
    </row>
    <row r="172" spans="1:1" ht="12.75" x14ac:dyDescent="0.2">
      <c r="A172" s="2"/>
    </row>
    <row r="173" spans="1:1" ht="12.75" x14ac:dyDescent="0.2">
      <c r="A173" s="2"/>
    </row>
    <row r="174" spans="1:1" ht="12.75" x14ac:dyDescent="0.2">
      <c r="A174" s="2"/>
    </row>
    <row r="175" spans="1:1" ht="12.75" x14ac:dyDescent="0.2">
      <c r="A175" s="2"/>
    </row>
    <row r="176" spans="1:1" ht="12.75" x14ac:dyDescent="0.2">
      <c r="A176" s="2"/>
    </row>
    <row r="177" spans="1:1" ht="12.75" x14ac:dyDescent="0.2">
      <c r="A177" s="2"/>
    </row>
    <row r="178" spans="1:1" ht="12.75" x14ac:dyDescent="0.2">
      <c r="A178" s="2"/>
    </row>
    <row r="179" spans="1:1" ht="12.75" x14ac:dyDescent="0.2">
      <c r="A179" s="2"/>
    </row>
    <row r="180" spans="1:1" ht="12.75" x14ac:dyDescent="0.2">
      <c r="A180" s="2"/>
    </row>
    <row r="181" spans="1:1" ht="12.75" x14ac:dyDescent="0.2">
      <c r="A181" s="2"/>
    </row>
    <row r="182" spans="1:1" ht="12.75" x14ac:dyDescent="0.2">
      <c r="A182" s="2"/>
    </row>
    <row r="183" spans="1:1" ht="12.75" x14ac:dyDescent="0.2">
      <c r="A183" s="2"/>
    </row>
    <row r="184" spans="1:1" ht="12.75" x14ac:dyDescent="0.2">
      <c r="A184" s="2"/>
    </row>
    <row r="185" spans="1:1" ht="12.75" x14ac:dyDescent="0.2">
      <c r="A185" s="2"/>
    </row>
    <row r="186" spans="1:1" ht="12.75" x14ac:dyDescent="0.2">
      <c r="A186" s="2"/>
    </row>
    <row r="187" spans="1:1" ht="12.75" x14ac:dyDescent="0.2">
      <c r="A187" s="2"/>
    </row>
    <row r="188" spans="1:1" ht="12.75" x14ac:dyDescent="0.2">
      <c r="A188" s="2"/>
    </row>
    <row r="189" spans="1:1" ht="12.75" x14ac:dyDescent="0.2">
      <c r="A189" s="2"/>
    </row>
    <row r="190" spans="1:1" ht="12.75" x14ac:dyDescent="0.2">
      <c r="A190" s="2"/>
    </row>
    <row r="191" spans="1:1" ht="12.75" x14ac:dyDescent="0.2">
      <c r="A191" s="2"/>
    </row>
    <row r="192" spans="1:1" ht="12.75" x14ac:dyDescent="0.2">
      <c r="A192" s="2"/>
    </row>
    <row r="193" spans="1:1" ht="12.75" x14ac:dyDescent="0.2">
      <c r="A193" s="2"/>
    </row>
    <row r="194" spans="1:1" ht="12.75" x14ac:dyDescent="0.2">
      <c r="A194" s="2"/>
    </row>
    <row r="195" spans="1:1" ht="12.75" x14ac:dyDescent="0.2">
      <c r="A195" s="2"/>
    </row>
    <row r="196" spans="1:1" ht="12.75" x14ac:dyDescent="0.2">
      <c r="A196" s="2"/>
    </row>
    <row r="197" spans="1:1" ht="12.75" x14ac:dyDescent="0.2">
      <c r="A197" s="2"/>
    </row>
    <row r="198" spans="1:1" ht="12.75" x14ac:dyDescent="0.2">
      <c r="A198" s="2"/>
    </row>
    <row r="199" spans="1:1" ht="12.75" x14ac:dyDescent="0.2">
      <c r="A199" s="2"/>
    </row>
    <row r="200" spans="1:1" ht="12.75" x14ac:dyDescent="0.2">
      <c r="A200" s="2"/>
    </row>
    <row r="201" spans="1:1" ht="12.75" x14ac:dyDescent="0.2">
      <c r="A201" s="2"/>
    </row>
    <row r="202" spans="1:1" ht="12.75" x14ac:dyDescent="0.2">
      <c r="A202" s="2"/>
    </row>
    <row r="203" spans="1:1" ht="12.75" x14ac:dyDescent="0.2">
      <c r="A203" s="2"/>
    </row>
    <row r="204" spans="1:1" ht="12.75" x14ac:dyDescent="0.2">
      <c r="A204" s="2"/>
    </row>
    <row r="205" spans="1:1" ht="12.75" x14ac:dyDescent="0.2">
      <c r="A205" s="2"/>
    </row>
    <row r="206" spans="1:1" ht="12.75" x14ac:dyDescent="0.2">
      <c r="A206" s="2"/>
    </row>
    <row r="207" spans="1:1" ht="12.75" x14ac:dyDescent="0.2">
      <c r="A207" s="2"/>
    </row>
    <row r="208" spans="1:1" ht="12.75" x14ac:dyDescent="0.2">
      <c r="A208" s="2"/>
    </row>
    <row r="209" spans="1:1" ht="12.75" x14ac:dyDescent="0.2">
      <c r="A209" s="2"/>
    </row>
    <row r="210" spans="1:1" ht="12.75" x14ac:dyDescent="0.2">
      <c r="A210" s="2"/>
    </row>
    <row r="211" spans="1:1" ht="12.75" x14ac:dyDescent="0.2">
      <c r="A211" s="2"/>
    </row>
    <row r="212" spans="1:1" ht="12.75" x14ac:dyDescent="0.2">
      <c r="A212" s="2"/>
    </row>
    <row r="213" spans="1:1" ht="12.75" x14ac:dyDescent="0.2">
      <c r="A213" s="2"/>
    </row>
    <row r="214" spans="1:1" ht="12.75" x14ac:dyDescent="0.2">
      <c r="A214" s="2"/>
    </row>
    <row r="215" spans="1:1" ht="12.75" x14ac:dyDescent="0.2">
      <c r="A215" s="2"/>
    </row>
    <row r="216" spans="1:1" ht="12.75" x14ac:dyDescent="0.2">
      <c r="A216" s="2"/>
    </row>
    <row r="217" spans="1:1" ht="12.75" x14ac:dyDescent="0.2">
      <c r="A217" s="2"/>
    </row>
    <row r="218" spans="1:1" ht="12.75" x14ac:dyDescent="0.2">
      <c r="A218" s="2"/>
    </row>
    <row r="219" spans="1:1" ht="12.75" x14ac:dyDescent="0.2">
      <c r="A219" s="2"/>
    </row>
    <row r="220" spans="1:1" ht="12.75" x14ac:dyDescent="0.2">
      <c r="A220" s="2"/>
    </row>
    <row r="221" spans="1:1" ht="12.75" x14ac:dyDescent="0.2">
      <c r="A221" s="2"/>
    </row>
    <row r="222" spans="1:1" ht="12.75" x14ac:dyDescent="0.2">
      <c r="A222" s="2"/>
    </row>
    <row r="223" spans="1:1" ht="12.75" x14ac:dyDescent="0.2">
      <c r="A223" s="2"/>
    </row>
    <row r="224" spans="1:1" ht="12.75" x14ac:dyDescent="0.2">
      <c r="A224" s="2"/>
    </row>
    <row r="225" spans="1:1" ht="12.75" x14ac:dyDescent="0.2">
      <c r="A225" s="2"/>
    </row>
    <row r="226" spans="1:1" ht="12.75" x14ac:dyDescent="0.2">
      <c r="A226" s="2"/>
    </row>
    <row r="227" spans="1:1" ht="12.75" x14ac:dyDescent="0.2">
      <c r="A227" s="2"/>
    </row>
    <row r="228" spans="1:1" ht="12.75" x14ac:dyDescent="0.2">
      <c r="A228" s="2"/>
    </row>
    <row r="229" spans="1:1" ht="12.75" x14ac:dyDescent="0.2">
      <c r="A229" s="2"/>
    </row>
    <row r="230" spans="1:1" ht="12.75" x14ac:dyDescent="0.2">
      <c r="A230" s="2"/>
    </row>
    <row r="231" spans="1:1" ht="12.75" x14ac:dyDescent="0.2">
      <c r="A231" s="2"/>
    </row>
    <row r="232" spans="1:1" ht="12.75" x14ac:dyDescent="0.2">
      <c r="A232" s="2"/>
    </row>
    <row r="233" spans="1:1" ht="12.75" x14ac:dyDescent="0.2">
      <c r="A233" s="2"/>
    </row>
    <row r="234" spans="1:1" ht="12.75" x14ac:dyDescent="0.2">
      <c r="A234" s="2"/>
    </row>
    <row r="235" spans="1:1" ht="12.75" x14ac:dyDescent="0.2">
      <c r="A235" s="2"/>
    </row>
    <row r="236" spans="1:1" ht="12.75" x14ac:dyDescent="0.2">
      <c r="A236" s="2"/>
    </row>
    <row r="237" spans="1:1" ht="12.75" x14ac:dyDescent="0.2">
      <c r="A237" s="2"/>
    </row>
    <row r="238" spans="1:1" ht="12.75" x14ac:dyDescent="0.2">
      <c r="A238" s="2"/>
    </row>
    <row r="239" spans="1:1" ht="12.75" x14ac:dyDescent="0.2">
      <c r="A239" s="2"/>
    </row>
    <row r="240" spans="1:1" ht="12.75" x14ac:dyDescent="0.2">
      <c r="A240" s="2"/>
    </row>
    <row r="241" spans="1:1" ht="12.75" x14ac:dyDescent="0.2">
      <c r="A241" s="2"/>
    </row>
    <row r="242" spans="1:1" ht="12.75" x14ac:dyDescent="0.2">
      <c r="A242" s="2"/>
    </row>
    <row r="243" spans="1:1" ht="12.75" x14ac:dyDescent="0.2">
      <c r="A243" s="2"/>
    </row>
    <row r="244" spans="1:1" ht="12.75" x14ac:dyDescent="0.2">
      <c r="A244" s="2"/>
    </row>
    <row r="245" spans="1:1" ht="12.75" x14ac:dyDescent="0.2">
      <c r="A245" s="2"/>
    </row>
    <row r="246" spans="1:1" ht="12.75" x14ac:dyDescent="0.2">
      <c r="A246" s="2"/>
    </row>
    <row r="247" spans="1:1" ht="12.75" x14ac:dyDescent="0.2">
      <c r="A247" s="2"/>
    </row>
    <row r="248" spans="1:1" ht="12.75" x14ac:dyDescent="0.2">
      <c r="A248" s="2"/>
    </row>
    <row r="249" spans="1:1" ht="12.75" x14ac:dyDescent="0.2">
      <c r="A249" s="2"/>
    </row>
    <row r="250" spans="1:1" ht="12.75" x14ac:dyDescent="0.2">
      <c r="A250" s="2"/>
    </row>
    <row r="251" spans="1:1" ht="12.75" x14ac:dyDescent="0.2">
      <c r="A251" s="2"/>
    </row>
    <row r="252" spans="1:1" ht="12.75" x14ac:dyDescent="0.2">
      <c r="A252" s="2"/>
    </row>
    <row r="253" spans="1:1" ht="12.75" x14ac:dyDescent="0.2">
      <c r="A253" s="2"/>
    </row>
    <row r="254" spans="1:1" ht="12.75" x14ac:dyDescent="0.2">
      <c r="A254" s="2"/>
    </row>
    <row r="255" spans="1:1" ht="12.75" x14ac:dyDescent="0.2">
      <c r="A255" s="2"/>
    </row>
    <row r="256" spans="1:1" ht="12.75" x14ac:dyDescent="0.2">
      <c r="A256" s="2"/>
    </row>
    <row r="257" spans="1:1" ht="12.75" x14ac:dyDescent="0.2">
      <c r="A257" s="2"/>
    </row>
    <row r="258" spans="1:1" ht="12.75" x14ac:dyDescent="0.2">
      <c r="A258" s="2"/>
    </row>
    <row r="259" spans="1:1" ht="12.75" x14ac:dyDescent="0.2">
      <c r="A259" s="2"/>
    </row>
    <row r="260" spans="1:1" ht="12.75" x14ac:dyDescent="0.2">
      <c r="A260" s="2"/>
    </row>
    <row r="261" spans="1:1" ht="12.75" x14ac:dyDescent="0.2">
      <c r="A261" s="2"/>
    </row>
    <row r="262" spans="1:1" ht="12.75" x14ac:dyDescent="0.2">
      <c r="A262" s="2"/>
    </row>
    <row r="263" spans="1:1" ht="12.75" x14ac:dyDescent="0.2">
      <c r="A263" s="2"/>
    </row>
    <row r="264" spans="1:1" ht="12.75" x14ac:dyDescent="0.2">
      <c r="A264" s="2"/>
    </row>
    <row r="265" spans="1:1" ht="12.75" x14ac:dyDescent="0.2">
      <c r="A265" s="2"/>
    </row>
    <row r="266" spans="1:1" ht="12.75" x14ac:dyDescent="0.2">
      <c r="A266" s="2"/>
    </row>
    <row r="267" spans="1:1" ht="12.75" x14ac:dyDescent="0.2">
      <c r="A267" s="2"/>
    </row>
    <row r="268" spans="1:1" ht="12.75" x14ac:dyDescent="0.2">
      <c r="A268" s="2"/>
    </row>
    <row r="269" spans="1:1" ht="12.75" x14ac:dyDescent="0.2">
      <c r="A269" s="2"/>
    </row>
    <row r="270" spans="1:1" ht="12.75" x14ac:dyDescent="0.2">
      <c r="A270" s="2"/>
    </row>
    <row r="271" spans="1:1" ht="12.75" x14ac:dyDescent="0.2">
      <c r="A271" s="2"/>
    </row>
    <row r="272" spans="1:1" ht="12.75" x14ac:dyDescent="0.2">
      <c r="A272" s="2"/>
    </row>
    <row r="273" spans="1:1" ht="12.75" x14ac:dyDescent="0.2">
      <c r="A273" s="2"/>
    </row>
    <row r="274" spans="1:1" ht="12.75" x14ac:dyDescent="0.2">
      <c r="A274" s="2"/>
    </row>
    <row r="275" spans="1:1" ht="12.75" x14ac:dyDescent="0.2">
      <c r="A275" s="2"/>
    </row>
    <row r="276" spans="1:1" ht="12.75" x14ac:dyDescent="0.2">
      <c r="A276" s="2"/>
    </row>
    <row r="277" spans="1:1" ht="12.75" x14ac:dyDescent="0.2">
      <c r="A277" s="2"/>
    </row>
    <row r="278" spans="1:1" ht="12.75" x14ac:dyDescent="0.2">
      <c r="A278" s="2"/>
    </row>
    <row r="279" spans="1:1" ht="12.75" x14ac:dyDescent="0.2">
      <c r="A279" s="2"/>
    </row>
    <row r="280" spans="1:1" ht="12.75" x14ac:dyDescent="0.2">
      <c r="A280" s="2"/>
    </row>
    <row r="281" spans="1:1" ht="12.75" x14ac:dyDescent="0.2">
      <c r="A281" s="2"/>
    </row>
    <row r="282" spans="1:1" ht="12.75" x14ac:dyDescent="0.2">
      <c r="A282" s="2"/>
    </row>
    <row r="283" spans="1:1" ht="12.75" x14ac:dyDescent="0.2">
      <c r="A283" s="2"/>
    </row>
    <row r="284" spans="1:1" ht="12.75" x14ac:dyDescent="0.2">
      <c r="A284" s="2"/>
    </row>
    <row r="285" spans="1:1" ht="12.75" x14ac:dyDescent="0.2">
      <c r="A285" s="2"/>
    </row>
    <row r="286" spans="1:1" ht="12.75" x14ac:dyDescent="0.2">
      <c r="A286" s="2"/>
    </row>
    <row r="287" spans="1:1" ht="12.75" x14ac:dyDescent="0.2">
      <c r="A287" s="2"/>
    </row>
    <row r="288" spans="1:1" ht="12.75" x14ac:dyDescent="0.2">
      <c r="A288" s="2"/>
    </row>
    <row r="289" spans="1:1" ht="12.75" x14ac:dyDescent="0.2">
      <c r="A289" s="2"/>
    </row>
    <row r="290" spans="1:1" ht="12.75" x14ac:dyDescent="0.2">
      <c r="A290" s="2"/>
    </row>
    <row r="291" spans="1:1" ht="12.75" x14ac:dyDescent="0.2">
      <c r="A291" s="2"/>
    </row>
    <row r="292" spans="1:1" ht="12.75" x14ac:dyDescent="0.2">
      <c r="A292" s="2"/>
    </row>
    <row r="293" spans="1:1" ht="12.75" x14ac:dyDescent="0.2">
      <c r="A293" s="2"/>
    </row>
    <row r="294" spans="1:1" ht="12.75" x14ac:dyDescent="0.2">
      <c r="A294" s="2"/>
    </row>
    <row r="295" spans="1:1" ht="12.75" x14ac:dyDescent="0.2">
      <c r="A295" s="2"/>
    </row>
    <row r="296" spans="1:1" ht="12.75" x14ac:dyDescent="0.2">
      <c r="A296" s="2"/>
    </row>
    <row r="297" spans="1:1" ht="12.75" x14ac:dyDescent="0.2">
      <c r="A297" s="2"/>
    </row>
    <row r="298" spans="1:1" ht="12.75" x14ac:dyDescent="0.2">
      <c r="A298" s="2"/>
    </row>
    <row r="299" spans="1:1" ht="12.75" x14ac:dyDescent="0.2">
      <c r="A299" s="2"/>
    </row>
    <row r="300" spans="1:1" ht="12.75" x14ac:dyDescent="0.2">
      <c r="A300" s="2"/>
    </row>
    <row r="301" spans="1:1" ht="12.75" x14ac:dyDescent="0.2">
      <c r="A301" s="2"/>
    </row>
    <row r="302" spans="1:1" ht="12.75" x14ac:dyDescent="0.2">
      <c r="A302" s="2"/>
    </row>
    <row r="303" spans="1:1" ht="12.75" x14ac:dyDescent="0.2">
      <c r="A303" s="2"/>
    </row>
    <row r="304" spans="1:1" ht="12.75" x14ac:dyDescent="0.2">
      <c r="A304" s="2"/>
    </row>
    <row r="305" spans="1:1" ht="12.75" x14ac:dyDescent="0.2">
      <c r="A305" s="2"/>
    </row>
    <row r="306" spans="1:1" ht="12.75" x14ac:dyDescent="0.2">
      <c r="A306" s="2"/>
    </row>
    <row r="307" spans="1:1" ht="12.75" x14ac:dyDescent="0.2">
      <c r="A307" s="2"/>
    </row>
    <row r="308" spans="1:1" ht="12.75" x14ac:dyDescent="0.2">
      <c r="A308" s="2"/>
    </row>
    <row r="309" spans="1:1" ht="12.75" x14ac:dyDescent="0.2">
      <c r="A309" s="2"/>
    </row>
    <row r="310" spans="1:1" ht="12.75" x14ac:dyDescent="0.2">
      <c r="A310" s="2"/>
    </row>
    <row r="311" spans="1:1" ht="12.75" x14ac:dyDescent="0.2">
      <c r="A311" s="2"/>
    </row>
    <row r="312" spans="1:1" ht="12.75" x14ac:dyDescent="0.2">
      <c r="A312" s="2"/>
    </row>
    <row r="313" spans="1:1" ht="12.75" x14ac:dyDescent="0.2">
      <c r="A313" s="2"/>
    </row>
    <row r="314" spans="1:1" ht="12.75" x14ac:dyDescent="0.2">
      <c r="A314" s="2"/>
    </row>
    <row r="315" spans="1:1" ht="12.75" x14ac:dyDescent="0.2">
      <c r="A315" s="2"/>
    </row>
    <row r="316" spans="1:1" ht="12.75" x14ac:dyDescent="0.2">
      <c r="A316" s="2"/>
    </row>
    <row r="317" spans="1:1" ht="12.75" x14ac:dyDescent="0.2">
      <c r="A317" s="2"/>
    </row>
    <row r="318" spans="1:1" ht="12.75" x14ac:dyDescent="0.2">
      <c r="A318" s="2"/>
    </row>
    <row r="319" spans="1:1" ht="12.75" x14ac:dyDescent="0.2">
      <c r="A319" s="2"/>
    </row>
    <row r="320" spans="1:1" ht="12.75" x14ac:dyDescent="0.2">
      <c r="A320" s="2"/>
    </row>
    <row r="321" spans="1:1" ht="12.75" x14ac:dyDescent="0.2">
      <c r="A321" s="2"/>
    </row>
    <row r="322" spans="1:1" ht="12.75" x14ac:dyDescent="0.2">
      <c r="A322" s="2"/>
    </row>
    <row r="323" spans="1:1" ht="12.75" x14ac:dyDescent="0.2">
      <c r="A323" s="2"/>
    </row>
    <row r="324" spans="1:1" ht="12.75" x14ac:dyDescent="0.2">
      <c r="A324" s="2"/>
    </row>
    <row r="325" spans="1:1" ht="12.75" x14ac:dyDescent="0.2">
      <c r="A325" s="2"/>
    </row>
    <row r="326" spans="1:1" ht="12.75" x14ac:dyDescent="0.2">
      <c r="A326" s="2"/>
    </row>
    <row r="327" spans="1:1" ht="12.75" x14ac:dyDescent="0.2">
      <c r="A327" s="2"/>
    </row>
    <row r="328" spans="1:1" ht="12.75" x14ac:dyDescent="0.2">
      <c r="A328" s="2"/>
    </row>
    <row r="329" spans="1:1" ht="12.75" x14ac:dyDescent="0.2">
      <c r="A329" s="2"/>
    </row>
    <row r="330" spans="1:1" ht="12.75" x14ac:dyDescent="0.2">
      <c r="A330" s="2"/>
    </row>
    <row r="331" spans="1:1" ht="12.75" x14ac:dyDescent="0.2">
      <c r="A331" s="2"/>
    </row>
    <row r="332" spans="1:1" ht="12.75" x14ac:dyDescent="0.2">
      <c r="A332" s="2"/>
    </row>
    <row r="333" spans="1:1" ht="12.75" x14ac:dyDescent="0.2">
      <c r="A333" s="2"/>
    </row>
    <row r="334" spans="1:1" ht="12.75" x14ac:dyDescent="0.2">
      <c r="A334" s="2"/>
    </row>
    <row r="335" spans="1:1" ht="12.75" x14ac:dyDescent="0.2">
      <c r="A335" s="2"/>
    </row>
    <row r="336" spans="1:1" ht="12.75" x14ac:dyDescent="0.2">
      <c r="A336" s="2"/>
    </row>
    <row r="337" spans="1:1" ht="12.75" x14ac:dyDescent="0.2">
      <c r="A337" s="2"/>
    </row>
    <row r="338" spans="1:1" ht="12.75" x14ac:dyDescent="0.2">
      <c r="A338" s="2"/>
    </row>
    <row r="339" spans="1:1" ht="12.75" x14ac:dyDescent="0.2">
      <c r="A339" s="2"/>
    </row>
    <row r="340" spans="1:1" ht="12.75" x14ac:dyDescent="0.2">
      <c r="A340" s="2"/>
    </row>
    <row r="341" spans="1:1" ht="12.75" x14ac:dyDescent="0.2">
      <c r="A341" s="2"/>
    </row>
    <row r="342" spans="1:1" ht="12.75" x14ac:dyDescent="0.2">
      <c r="A342" s="2"/>
    </row>
    <row r="343" spans="1:1" ht="12.75" x14ac:dyDescent="0.2">
      <c r="A343" s="2"/>
    </row>
    <row r="344" spans="1:1" ht="12.75" x14ac:dyDescent="0.2">
      <c r="A344" s="2"/>
    </row>
    <row r="345" spans="1:1" ht="12.75" x14ac:dyDescent="0.2">
      <c r="A345" s="2"/>
    </row>
    <row r="346" spans="1:1" ht="12.75" x14ac:dyDescent="0.2">
      <c r="A346" s="2"/>
    </row>
    <row r="347" spans="1:1" ht="12.75" x14ac:dyDescent="0.2">
      <c r="A347" s="2"/>
    </row>
    <row r="348" spans="1:1" ht="12.75" x14ac:dyDescent="0.2">
      <c r="A348" s="2"/>
    </row>
    <row r="349" spans="1:1" ht="12.75" x14ac:dyDescent="0.2">
      <c r="A349" s="2"/>
    </row>
    <row r="350" spans="1:1" ht="12.75" x14ac:dyDescent="0.2">
      <c r="A350" s="2"/>
    </row>
    <row r="351" spans="1:1" ht="12.75" x14ac:dyDescent="0.2">
      <c r="A351" s="2"/>
    </row>
    <row r="352" spans="1:1" ht="12.75" x14ac:dyDescent="0.2">
      <c r="A352" s="2"/>
    </row>
    <row r="353" spans="1:1" ht="12.75" x14ac:dyDescent="0.2">
      <c r="A353" s="2"/>
    </row>
    <row r="354" spans="1:1" ht="12.75" x14ac:dyDescent="0.2">
      <c r="A354" s="2"/>
    </row>
    <row r="355" spans="1:1" ht="12.75" x14ac:dyDescent="0.2">
      <c r="A355" s="2"/>
    </row>
    <row r="356" spans="1:1" ht="12.75" x14ac:dyDescent="0.2">
      <c r="A356" s="2"/>
    </row>
    <row r="357" spans="1:1" ht="12.75" x14ac:dyDescent="0.2">
      <c r="A357" s="2"/>
    </row>
    <row r="358" spans="1:1" ht="12.75" x14ac:dyDescent="0.2">
      <c r="A358" s="2"/>
    </row>
    <row r="359" spans="1:1" ht="12.75" x14ac:dyDescent="0.2">
      <c r="A359" s="2"/>
    </row>
    <row r="360" spans="1:1" ht="12.75" x14ac:dyDescent="0.2">
      <c r="A360" s="2"/>
    </row>
    <row r="361" spans="1:1" ht="12.75" x14ac:dyDescent="0.2">
      <c r="A361" s="2"/>
    </row>
    <row r="362" spans="1:1" ht="12.75" x14ac:dyDescent="0.2">
      <c r="A362" s="2"/>
    </row>
    <row r="363" spans="1:1" ht="12.75" x14ac:dyDescent="0.2">
      <c r="A363" s="2"/>
    </row>
    <row r="364" spans="1:1" ht="12.75" x14ac:dyDescent="0.2">
      <c r="A364" s="2"/>
    </row>
    <row r="365" spans="1:1" ht="12.75" x14ac:dyDescent="0.2">
      <c r="A365" s="2"/>
    </row>
    <row r="366" spans="1:1" ht="12.75" x14ac:dyDescent="0.2">
      <c r="A366" s="2"/>
    </row>
    <row r="367" spans="1:1" ht="12.75" x14ac:dyDescent="0.2">
      <c r="A367" s="2"/>
    </row>
    <row r="368" spans="1:1" ht="12.75" x14ac:dyDescent="0.2">
      <c r="A368" s="2"/>
    </row>
    <row r="369" spans="1:1" ht="12.75" x14ac:dyDescent="0.2">
      <c r="A369" s="2"/>
    </row>
    <row r="370" spans="1:1" ht="12.75" x14ac:dyDescent="0.2">
      <c r="A370" s="2"/>
    </row>
    <row r="371" spans="1:1" ht="12.75" x14ac:dyDescent="0.2">
      <c r="A371" s="2"/>
    </row>
    <row r="372" spans="1:1" ht="12.75" x14ac:dyDescent="0.2">
      <c r="A372" s="2"/>
    </row>
    <row r="373" spans="1:1" ht="12.75" x14ac:dyDescent="0.2">
      <c r="A373" s="2"/>
    </row>
    <row r="374" spans="1:1" ht="12.75" x14ac:dyDescent="0.2">
      <c r="A374" s="2"/>
    </row>
    <row r="375" spans="1:1" ht="12.75" x14ac:dyDescent="0.2">
      <c r="A375" s="2"/>
    </row>
    <row r="376" spans="1:1" ht="12.75" x14ac:dyDescent="0.2">
      <c r="A376" s="2"/>
    </row>
    <row r="377" spans="1:1" ht="12.75" x14ac:dyDescent="0.2">
      <c r="A377" s="2"/>
    </row>
    <row r="378" spans="1:1" ht="12.75" x14ac:dyDescent="0.2">
      <c r="A378" s="2"/>
    </row>
    <row r="379" spans="1:1" ht="12.75" x14ac:dyDescent="0.2">
      <c r="A379" s="2"/>
    </row>
    <row r="380" spans="1:1" ht="12.75" x14ac:dyDescent="0.2">
      <c r="A380" s="2"/>
    </row>
    <row r="381" spans="1:1" ht="12.75" x14ac:dyDescent="0.2">
      <c r="A381" s="2"/>
    </row>
    <row r="382" spans="1:1" ht="12.75" x14ac:dyDescent="0.2">
      <c r="A382" s="2"/>
    </row>
    <row r="383" spans="1:1" ht="12.75" x14ac:dyDescent="0.2">
      <c r="A383" s="2"/>
    </row>
    <row r="384" spans="1:1" ht="12.75" x14ac:dyDescent="0.2">
      <c r="A384" s="2"/>
    </row>
    <row r="385" spans="1:1" ht="12.75" x14ac:dyDescent="0.2">
      <c r="A385" s="2"/>
    </row>
    <row r="386" spans="1:1" ht="12.75" x14ac:dyDescent="0.2">
      <c r="A386" s="2"/>
    </row>
    <row r="387" spans="1:1" ht="12.75" x14ac:dyDescent="0.2">
      <c r="A387" s="2"/>
    </row>
    <row r="388" spans="1:1" ht="12.75" x14ac:dyDescent="0.2">
      <c r="A388" s="2"/>
    </row>
    <row r="389" spans="1:1" ht="12.75" x14ac:dyDescent="0.2">
      <c r="A389" s="2"/>
    </row>
    <row r="390" spans="1:1" ht="12.75" x14ac:dyDescent="0.2">
      <c r="A390" s="2"/>
    </row>
    <row r="391" spans="1:1" ht="12.75" x14ac:dyDescent="0.2">
      <c r="A391" s="2"/>
    </row>
    <row r="392" spans="1:1" ht="12.75" x14ac:dyDescent="0.2">
      <c r="A392" s="2"/>
    </row>
    <row r="393" spans="1:1" ht="12.75" x14ac:dyDescent="0.2">
      <c r="A393" s="2"/>
    </row>
    <row r="394" spans="1:1" ht="12.75" x14ac:dyDescent="0.2">
      <c r="A394" s="2"/>
    </row>
    <row r="395" spans="1:1" ht="12.75" x14ac:dyDescent="0.2">
      <c r="A395" s="2"/>
    </row>
    <row r="396" spans="1:1" ht="12.75" x14ac:dyDescent="0.2">
      <c r="A396" s="2"/>
    </row>
    <row r="397" spans="1:1" ht="12.75" x14ac:dyDescent="0.2">
      <c r="A397" s="2"/>
    </row>
    <row r="398" spans="1:1" ht="12.75" x14ac:dyDescent="0.2">
      <c r="A398" s="2"/>
    </row>
    <row r="399" spans="1:1" ht="12.75" x14ac:dyDescent="0.2">
      <c r="A399" s="2"/>
    </row>
    <row r="400" spans="1:1" ht="12.75" x14ac:dyDescent="0.2">
      <c r="A400" s="2"/>
    </row>
    <row r="401" spans="1:1" ht="12.75" x14ac:dyDescent="0.2">
      <c r="A401" s="2"/>
    </row>
    <row r="402" spans="1:1" ht="12.75" x14ac:dyDescent="0.2">
      <c r="A402" s="2"/>
    </row>
    <row r="403" spans="1:1" ht="12.75" x14ac:dyDescent="0.2">
      <c r="A403" s="2"/>
    </row>
    <row r="404" spans="1:1" ht="12.75" x14ac:dyDescent="0.2">
      <c r="A404" s="2"/>
    </row>
    <row r="405" spans="1:1" ht="12.75" x14ac:dyDescent="0.2">
      <c r="A405" s="2"/>
    </row>
    <row r="406" spans="1:1" ht="12.75" x14ac:dyDescent="0.2">
      <c r="A406" s="2"/>
    </row>
    <row r="407" spans="1:1" ht="12.75" x14ac:dyDescent="0.2">
      <c r="A407" s="2"/>
    </row>
    <row r="408" spans="1:1" ht="12.75" x14ac:dyDescent="0.2">
      <c r="A408" s="2"/>
    </row>
    <row r="409" spans="1:1" ht="12.75" x14ac:dyDescent="0.2">
      <c r="A409" s="2"/>
    </row>
    <row r="410" spans="1:1" ht="12.75" x14ac:dyDescent="0.2">
      <c r="A410" s="2"/>
    </row>
    <row r="411" spans="1:1" ht="12.75" x14ac:dyDescent="0.2">
      <c r="A411" s="2"/>
    </row>
    <row r="412" spans="1:1" ht="12.75" x14ac:dyDescent="0.2">
      <c r="A412" s="2"/>
    </row>
    <row r="413" spans="1:1" ht="12.75" x14ac:dyDescent="0.2">
      <c r="A413" s="2"/>
    </row>
    <row r="414" spans="1:1" ht="12.75" x14ac:dyDescent="0.2">
      <c r="A414" s="2"/>
    </row>
    <row r="415" spans="1:1" ht="12.75" x14ac:dyDescent="0.2">
      <c r="A415" s="2"/>
    </row>
    <row r="416" spans="1:1" ht="12.75" x14ac:dyDescent="0.2">
      <c r="A416" s="2"/>
    </row>
    <row r="417" spans="1:1" ht="12.75" x14ac:dyDescent="0.2">
      <c r="A417" s="2"/>
    </row>
    <row r="418" spans="1:1" ht="12.75" x14ac:dyDescent="0.2">
      <c r="A418" s="2"/>
    </row>
    <row r="419" spans="1:1" ht="12.75" x14ac:dyDescent="0.2">
      <c r="A419" s="2"/>
    </row>
    <row r="420" spans="1:1" ht="12.75" x14ac:dyDescent="0.2">
      <c r="A420" s="2"/>
    </row>
    <row r="421" spans="1:1" ht="12.75" x14ac:dyDescent="0.2">
      <c r="A421" s="2"/>
    </row>
    <row r="422" spans="1:1" ht="12.75" x14ac:dyDescent="0.2">
      <c r="A422" s="2"/>
    </row>
    <row r="423" spans="1:1" ht="12.75" x14ac:dyDescent="0.2">
      <c r="A423" s="2"/>
    </row>
    <row r="424" spans="1:1" ht="12.75" x14ac:dyDescent="0.2">
      <c r="A424" s="2"/>
    </row>
    <row r="425" spans="1:1" ht="12.75" x14ac:dyDescent="0.2">
      <c r="A425" s="2"/>
    </row>
    <row r="426" spans="1:1" ht="12.75" x14ac:dyDescent="0.2">
      <c r="A426" s="2"/>
    </row>
    <row r="427" spans="1:1" ht="12.75" x14ac:dyDescent="0.2">
      <c r="A427" s="2"/>
    </row>
    <row r="428" spans="1:1" ht="12.75" x14ac:dyDescent="0.2">
      <c r="A428" s="2"/>
    </row>
    <row r="429" spans="1:1" ht="12.75" x14ac:dyDescent="0.2">
      <c r="A429" s="2"/>
    </row>
    <row r="430" spans="1:1" ht="12.75" x14ac:dyDescent="0.2">
      <c r="A430" s="2"/>
    </row>
    <row r="431" spans="1:1" ht="12.75" x14ac:dyDescent="0.2">
      <c r="A431" s="2"/>
    </row>
    <row r="432" spans="1:1" ht="12.75" x14ac:dyDescent="0.2">
      <c r="A432" s="2"/>
    </row>
    <row r="433" spans="1:1" ht="12.75" x14ac:dyDescent="0.2">
      <c r="A433" s="2"/>
    </row>
    <row r="434" spans="1:1" ht="12.75" x14ac:dyDescent="0.2">
      <c r="A434" s="2"/>
    </row>
    <row r="435" spans="1:1" ht="12.75" x14ac:dyDescent="0.2">
      <c r="A435" s="2"/>
    </row>
    <row r="436" spans="1:1" ht="12.75" x14ac:dyDescent="0.2">
      <c r="A436" s="2"/>
    </row>
    <row r="437" spans="1:1" ht="12.75" x14ac:dyDescent="0.2">
      <c r="A437" s="2"/>
    </row>
    <row r="438" spans="1:1" ht="12.75" x14ac:dyDescent="0.2">
      <c r="A438" s="2"/>
    </row>
    <row r="439" spans="1:1" ht="12.75" x14ac:dyDescent="0.2">
      <c r="A439" s="2"/>
    </row>
    <row r="440" spans="1:1" ht="12.75" x14ac:dyDescent="0.2">
      <c r="A440" s="2"/>
    </row>
    <row r="441" spans="1:1" ht="12.75" x14ac:dyDescent="0.2">
      <c r="A441" s="2"/>
    </row>
    <row r="442" spans="1:1" ht="12.75" x14ac:dyDescent="0.2">
      <c r="A442" s="2"/>
    </row>
    <row r="443" spans="1:1" ht="12.75" x14ac:dyDescent="0.2">
      <c r="A443" s="2"/>
    </row>
    <row r="444" spans="1:1" ht="12.75" x14ac:dyDescent="0.2">
      <c r="A444" s="2"/>
    </row>
    <row r="445" spans="1:1" ht="12.75" x14ac:dyDescent="0.2">
      <c r="A445" s="2"/>
    </row>
    <row r="446" spans="1:1" ht="12.75" x14ac:dyDescent="0.2">
      <c r="A446" s="2"/>
    </row>
    <row r="447" spans="1:1" ht="12.75" x14ac:dyDescent="0.2">
      <c r="A447" s="2"/>
    </row>
    <row r="448" spans="1:1" ht="12.75" x14ac:dyDescent="0.2">
      <c r="A448" s="2"/>
    </row>
    <row r="449" spans="1:1" ht="12.75" x14ac:dyDescent="0.2">
      <c r="A449" s="2"/>
    </row>
    <row r="450" spans="1:1" ht="12.75" x14ac:dyDescent="0.2">
      <c r="A450" s="2"/>
    </row>
    <row r="451" spans="1:1" ht="12.75" x14ac:dyDescent="0.2">
      <c r="A451" s="2"/>
    </row>
    <row r="452" spans="1:1" ht="12.75" x14ac:dyDescent="0.2">
      <c r="A452" s="2"/>
    </row>
    <row r="453" spans="1:1" ht="12.75" x14ac:dyDescent="0.2">
      <c r="A453" s="2"/>
    </row>
    <row r="454" spans="1:1" ht="12.75" x14ac:dyDescent="0.2">
      <c r="A454" s="2"/>
    </row>
    <row r="455" spans="1:1" ht="12.75" x14ac:dyDescent="0.2">
      <c r="A455" s="2"/>
    </row>
    <row r="456" spans="1:1" ht="12.75" x14ac:dyDescent="0.2">
      <c r="A456" s="2"/>
    </row>
    <row r="457" spans="1:1" ht="12.75" x14ac:dyDescent="0.2">
      <c r="A457" s="2"/>
    </row>
    <row r="458" spans="1:1" ht="12.75" x14ac:dyDescent="0.2">
      <c r="A458" s="2"/>
    </row>
    <row r="459" spans="1:1" ht="12.75" x14ac:dyDescent="0.2">
      <c r="A459" s="2"/>
    </row>
    <row r="460" spans="1:1" ht="12.75" x14ac:dyDescent="0.2">
      <c r="A460" s="2"/>
    </row>
    <row r="461" spans="1:1" ht="12.75" x14ac:dyDescent="0.2">
      <c r="A461" s="2"/>
    </row>
    <row r="462" spans="1:1" ht="12.75" x14ac:dyDescent="0.2">
      <c r="A462" s="2"/>
    </row>
    <row r="463" spans="1:1" ht="12.75" x14ac:dyDescent="0.2">
      <c r="A463" s="2"/>
    </row>
    <row r="464" spans="1:1" ht="12.75" x14ac:dyDescent="0.2">
      <c r="A464" s="2"/>
    </row>
    <row r="465" spans="1:1" ht="12.75" x14ac:dyDescent="0.2">
      <c r="A465" s="2"/>
    </row>
    <row r="466" spans="1:1" ht="12.75" x14ac:dyDescent="0.2">
      <c r="A466" s="2"/>
    </row>
    <row r="467" spans="1:1" ht="12.75" x14ac:dyDescent="0.2">
      <c r="A467" s="2"/>
    </row>
    <row r="468" spans="1:1" ht="12.75" x14ac:dyDescent="0.2">
      <c r="A468" s="2"/>
    </row>
    <row r="469" spans="1:1" ht="12.75" x14ac:dyDescent="0.2">
      <c r="A469" s="2"/>
    </row>
    <row r="470" spans="1:1" ht="12.75" x14ac:dyDescent="0.2">
      <c r="A470" s="2"/>
    </row>
    <row r="471" spans="1:1" ht="12.75" x14ac:dyDescent="0.2">
      <c r="A471" s="2"/>
    </row>
    <row r="472" spans="1:1" ht="12.75" x14ac:dyDescent="0.2">
      <c r="A472" s="2"/>
    </row>
    <row r="473" spans="1:1" ht="12.75" x14ac:dyDescent="0.2">
      <c r="A473" s="2"/>
    </row>
    <row r="474" spans="1:1" ht="12.75" x14ac:dyDescent="0.2">
      <c r="A474" s="2"/>
    </row>
    <row r="475" spans="1:1" ht="12.75" x14ac:dyDescent="0.2">
      <c r="A475" s="2"/>
    </row>
    <row r="476" spans="1:1" ht="12.75" x14ac:dyDescent="0.2">
      <c r="A476" s="2"/>
    </row>
    <row r="477" spans="1:1" ht="12.75" x14ac:dyDescent="0.2">
      <c r="A477" s="2"/>
    </row>
    <row r="478" spans="1:1" ht="12.75" x14ac:dyDescent="0.2">
      <c r="A478" s="2"/>
    </row>
    <row r="479" spans="1:1" ht="12.75" x14ac:dyDescent="0.2">
      <c r="A479" s="2"/>
    </row>
    <row r="480" spans="1:1" ht="12.75" x14ac:dyDescent="0.2">
      <c r="A480" s="2"/>
    </row>
    <row r="481" spans="1:1" ht="12.75" x14ac:dyDescent="0.2">
      <c r="A481" s="2"/>
    </row>
    <row r="482" spans="1:1" ht="12.75" x14ac:dyDescent="0.2">
      <c r="A482" s="2"/>
    </row>
    <row r="483" spans="1:1" ht="12.75" x14ac:dyDescent="0.2">
      <c r="A483" s="2"/>
    </row>
    <row r="484" spans="1:1" ht="12.75" x14ac:dyDescent="0.2">
      <c r="A484" s="2"/>
    </row>
    <row r="485" spans="1:1" ht="12.75" x14ac:dyDescent="0.2">
      <c r="A485" s="2"/>
    </row>
    <row r="486" spans="1:1" ht="12.75" x14ac:dyDescent="0.2">
      <c r="A486" s="2"/>
    </row>
    <row r="487" spans="1:1" ht="12.75" x14ac:dyDescent="0.2">
      <c r="A487" s="2"/>
    </row>
    <row r="488" spans="1:1" ht="12.75" x14ac:dyDescent="0.2">
      <c r="A488" s="2"/>
    </row>
    <row r="489" spans="1:1" ht="12.75" x14ac:dyDescent="0.2">
      <c r="A489" s="2"/>
    </row>
    <row r="490" spans="1:1" ht="12.75" x14ac:dyDescent="0.2">
      <c r="A490" s="2"/>
    </row>
    <row r="491" spans="1:1" ht="12.75" x14ac:dyDescent="0.2">
      <c r="A491" s="2"/>
    </row>
    <row r="492" spans="1:1" ht="12.75" x14ac:dyDescent="0.2">
      <c r="A492" s="2"/>
    </row>
    <row r="493" spans="1:1" ht="12.75" x14ac:dyDescent="0.2">
      <c r="A493" s="2"/>
    </row>
    <row r="494" spans="1:1" ht="12.75" x14ac:dyDescent="0.2">
      <c r="A494" s="2"/>
    </row>
    <row r="495" spans="1:1" ht="12.75" x14ac:dyDescent="0.2">
      <c r="A495" s="2"/>
    </row>
    <row r="496" spans="1:1" ht="12.75" x14ac:dyDescent="0.2">
      <c r="A496" s="2"/>
    </row>
    <row r="497" spans="1:1" ht="12.75" x14ac:dyDescent="0.2">
      <c r="A497" s="2"/>
    </row>
    <row r="498" spans="1:1" ht="12.75" x14ac:dyDescent="0.2">
      <c r="A498" s="2"/>
    </row>
    <row r="499" spans="1:1" ht="12.75" x14ac:dyDescent="0.2">
      <c r="A499" s="2"/>
    </row>
    <row r="500" spans="1:1" ht="12.75" x14ac:dyDescent="0.2">
      <c r="A500" s="2"/>
    </row>
    <row r="501" spans="1:1" ht="12.75" x14ac:dyDescent="0.2">
      <c r="A501" s="2"/>
    </row>
    <row r="502" spans="1:1" ht="12.75" x14ac:dyDescent="0.2">
      <c r="A502" s="2"/>
    </row>
    <row r="503" spans="1:1" ht="12.75" x14ac:dyDescent="0.2">
      <c r="A503" s="2"/>
    </row>
    <row r="504" spans="1:1" ht="12.75" x14ac:dyDescent="0.2">
      <c r="A504" s="2"/>
    </row>
    <row r="505" spans="1:1" ht="12.75" x14ac:dyDescent="0.2">
      <c r="A505" s="2"/>
    </row>
    <row r="506" spans="1:1" ht="12.75" x14ac:dyDescent="0.2">
      <c r="A506" s="2"/>
    </row>
    <row r="507" spans="1:1" ht="12.75" x14ac:dyDescent="0.2">
      <c r="A507" s="2"/>
    </row>
    <row r="508" spans="1:1" ht="12.75" x14ac:dyDescent="0.2">
      <c r="A508" s="2"/>
    </row>
    <row r="509" spans="1:1" ht="12.75" x14ac:dyDescent="0.2">
      <c r="A509" s="2"/>
    </row>
    <row r="510" spans="1:1" ht="12.75" x14ac:dyDescent="0.2">
      <c r="A510" s="2"/>
    </row>
    <row r="511" spans="1:1" ht="12.75" x14ac:dyDescent="0.2">
      <c r="A511" s="2"/>
    </row>
    <row r="512" spans="1:1" ht="12.75" x14ac:dyDescent="0.2">
      <c r="A512" s="2"/>
    </row>
    <row r="513" spans="1:1" ht="12.75" x14ac:dyDescent="0.2">
      <c r="A513" s="2"/>
    </row>
    <row r="514" spans="1:1" ht="12.75" x14ac:dyDescent="0.2">
      <c r="A514" s="2"/>
    </row>
    <row r="515" spans="1:1" ht="12.75" x14ac:dyDescent="0.2">
      <c r="A515" s="2"/>
    </row>
    <row r="516" spans="1:1" ht="12.75" x14ac:dyDescent="0.2">
      <c r="A516" s="2"/>
    </row>
    <row r="517" spans="1:1" ht="12.75" x14ac:dyDescent="0.2">
      <c r="A517" s="2"/>
    </row>
    <row r="518" spans="1:1" ht="12.75" x14ac:dyDescent="0.2">
      <c r="A518" s="2"/>
    </row>
    <row r="519" spans="1:1" ht="12.75" x14ac:dyDescent="0.2">
      <c r="A519" s="2"/>
    </row>
    <row r="520" spans="1:1" ht="12.75" x14ac:dyDescent="0.2">
      <c r="A520" s="2"/>
    </row>
    <row r="521" spans="1:1" ht="12.75" x14ac:dyDescent="0.2">
      <c r="A521" s="2"/>
    </row>
    <row r="522" spans="1:1" ht="12.75" x14ac:dyDescent="0.2">
      <c r="A522" s="2"/>
    </row>
    <row r="523" spans="1:1" ht="12.75" x14ac:dyDescent="0.2">
      <c r="A523" s="2"/>
    </row>
    <row r="524" spans="1:1" ht="12.75" x14ac:dyDescent="0.2">
      <c r="A524" s="2"/>
    </row>
    <row r="525" spans="1:1" ht="12.75" x14ac:dyDescent="0.2">
      <c r="A525" s="2"/>
    </row>
    <row r="526" spans="1:1" ht="12.75" x14ac:dyDescent="0.2">
      <c r="A526" s="2"/>
    </row>
    <row r="527" spans="1:1" ht="12.75" x14ac:dyDescent="0.2">
      <c r="A527" s="2"/>
    </row>
    <row r="528" spans="1:1" ht="12.75" x14ac:dyDescent="0.2">
      <c r="A528" s="2"/>
    </row>
    <row r="529" spans="1:1" ht="12.75" x14ac:dyDescent="0.2">
      <c r="A529" s="2"/>
    </row>
    <row r="530" spans="1:1" ht="12.75" x14ac:dyDescent="0.2">
      <c r="A530" s="2"/>
    </row>
    <row r="531" spans="1:1" ht="12.75" x14ac:dyDescent="0.2">
      <c r="A531" s="2"/>
    </row>
    <row r="532" spans="1:1" ht="12.75" x14ac:dyDescent="0.2">
      <c r="A532" s="2"/>
    </row>
    <row r="533" spans="1:1" ht="12.75" x14ac:dyDescent="0.2">
      <c r="A533" s="2"/>
    </row>
    <row r="534" spans="1:1" ht="12.75" x14ac:dyDescent="0.2">
      <c r="A534" s="2"/>
    </row>
    <row r="535" spans="1:1" ht="12.75" x14ac:dyDescent="0.2">
      <c r="A535" s="2"/>
    </row>
    <row r="536" spans="1:1" ht="12.75" x14ac:dyDescent="0.2">
      <c r="A536" s="2"/>
    </row>
    <row r="537" spans="1:1" ht="12.75" x14ac:dyDescent="0.2">
      <c r="A537" s="2"/>
    </row>
    <row r="538" spans="1:1" ht="12.75" x14ac:dyDescent="0.2">
      <c r="A538" s="2"/>
    </row>
    <row r="539" spans="1:1" ht="12.75" x14ac:dyDescent="0.2">
      <c r="A539" s="2"/>
    </row>
    <row r="540" spans="1:1" ht="12.75" x14ac:dyDescent="0.2">
      <c r="A540" s="2"/>
    </row>
    <row r="541" spans="1:1" ht="12.75" x14ac:dyDescent="0.2">
      <c r="A541" s="2"/>
    </row>
    <row r="542" spans="1:1" ht="12.75" x14ac:dyDescent="0.2">
      <c r="A542" s="2"/>
    </row>
    <row r="543" spans="1:1" ht="12.75" x14ac:dyDescent="0.2">
      <c r="A543" s="2"/>
    </row>
    <row r="544" spans="1:1" ht="12.75" x14ac:dyDescent="0.2">
      <c r="A544" s="2"/>
    </row>
    <row r="545" spans="1:1" ht="12.75" x14ac:dyDescent="0.2">
      <c r="A545" s="2"/>
    </row>
    <row r="546" spans="1:1" ht="12.75" x14ac:dyDescent="0.2">
      <c r="A546" s="2"/>
    </row>
    <row r="547" spans="1:1" ht="12.75" x14ac:dyDescent="0.2">
      <c r="A547" s="2"/>
    </row>
    <row r="548" spans="1:1" ht="12.75" x14ac:dyDescent="0.2">
      <c r="A548" s="2"/>
    </row>
    <row r="549" spans="1:1" ht="12.75" x14ac:dyDescent="0.2">
      <c r="A549" s="2"/>
    </row>
    <row r="550" spans="1:1" ht="12.75" x14ac:dyDescent="0.2">
      <c r="A550" s="2"/>
    </row>
    <row r="551" spans="1:1" ht="12.75" x14ac:dyDescent="0.2">
      <c r="A551" s="2"/>
    </row>
    <row r="552" spans="1:1" ht="12.75" x14ac:dyDescent="0.2">
      <c r="A552" s="2"/>
    </row>
    <row r="553" spans="1:1" ht="12.75" x14ac:dyDescent="0.2">
      <c r="A553" s="2"/>
    </row>
    <row r="554" spans="1:1" ht="12.75" x14ac:dyDescent="0.2">
      <c r="A554" s="2"/>
    </row>
    <row r="555" spans="1:1" ht="12.75" x14ac:dyDescent="0.2">
      <c r="A555" s="2"/>
    </row>
    <row r="556" spans="1:1" ht="12.75" x14ac:dyDescent="0.2">
      <c r="A556" s="2"/>
    </row>
    <row r="557" spans="1:1" ht="12.75" x14ac:dyDescent="0.2">
      <c r="A557" s="2"/>
    </row>
    <row r="558" spans="1:1" ht="12.75" x14ac:dyDescent="0.2">
      <c r="A558" s="2"/>
    </row>
    <row r="559" spans="1:1" ht="12.75" x14ac:dyDescent="0.2">
      <c r="A559" s="2"/>
    </row>
    <row r="560" spans="1:1" ht="12.75" x14ac:dyDescent="0.2">
      <c r="A560" s="2"/>
    </row>
    <row r="561" spans="1:1" ht="12.75" x14ac:dyDescent="0.2">
      <c r="A561" s="2"/>
    </row>
    <row r="562" spans="1:1" ht="12.75" x14ac:dyDescent="0.2">
      <c r="A562" s="2"/>
    </row>
    <row r="563" spans="1:1" ht="12.75" x14ac:dyDescent="0.2">
      <c r="A563" s="2"/>
    </row>
    <row r="564" spans="1:1" ht="12.75" x14ac:dyDescent="0.2">
      <c r="A564" s="2"/>
    </row>
    <row r="565" spans="1:1" ht="12.75" x14ac:dyDescent="0.2">
      <c r="A565" s="2"/>
    </row>
    <row r="566" spans="1:1" ht="12.75" x14ac:dyDescent="0.2">
      <c r="A566" s="2"/>
    </row>
    <row r="567" spans="1:1" ht="12.75" x14ac:dyDescent="0.2">
      <c r="A567" s="2"/>
    </row>
    <row r="568" spans="1:1" ht="12.75" x14ac:dyDescent="0.2">
      <c r="A568" s="2"/>
    </row>
    <row r="569" spans="1:1" ht="12.75" x14ac:dyDescent="0.2">
      <c r="A569" s="2"/>
    </row>
    <row r="570" spans="1:1" ht="12.75" x14ac:dyDescent="0.2">
      <c r="A570" s="2"/>
    </row>
    <row r="571" spans="1:1" ht="12.75" x14ac:dyDescent="0.2">
      <c r="A571" s="2"/>
    </row>
    <row r="572" spans="1:1" ht="12.75" x14ac:dyDescent="0.2">
      <c r="A572" s="2"/>
    </row>
    <row r="573" spans="1:1" ht="12.75" x14ac:dyDescent="0.2">
      <c r="A573" s="2"/>
    </row>
    <row r="574" spans="1:1" ht="12.75" x14ac:dyDescent="0.2">
      <c r="A574" s="2"/>
    </row>
    <row r="575" spans="1:1" ht="12.75" x14ac:dyDescent="0.2">
      <c r="A575" s="2"/>
    </row>
    <row r="576" spans="1:1" ht="12.75" x14ac:dyDescent="0.2">
      <c r="A576" s="2"/>
    </row>
    <row r="577" spans="1:1" ht="12.75" x14ac:dyDescent="0.2">
      <c r="A577" s="2"/>
    </row>
    <row r="578" spans="1:1" ht="12.75" x14ac:dyDescent="0.2">
      <c r="A578" s="2"/>
    </row>
    <row r="579" spans="1:1" ht="12.75" x14ac:dyDescent="0.2">
      <c r="A579" s="2"/>
    </row>
    <row r="580" spans="1:1" ht="12.75" x14ac:dyDescent="0.2">
      <c r="A580" s="2"/>
    </row>
    <row r="581" spans="1:1" ht="12.75" x14ac:dyDescent="0.2">
      <c r="A581" s="2"/>
    </row>
    <row r="582" spans="1:1" ht="12.75" x14ac:dyDescent="0.2">
      <c r="A582" s="2"/>
    </row>
    <row r="583" spans="1:1" ht="12.75" x14ac:dyDescent="0.2">
      <c r="A583" s="2"/>
    </row>
    <row r="584" spans="1:1" ht="12.75" x14ac:dyDescent="0.2">
      <c r="A584" s="2"/>
    </row>
    <row r="585" spans="1:1" ht="12.75" x14ac:dyDescent="0.2">
      <c r="A585" s="2"/>
    </row>
    <row r="586" spans="1:1" ht="12.75" x14ac:dyDescent="0.2">
      <c r="A586" s="2"/>
    </row>
    <row r="587" spans="1:1" ht="12.75" x14ac:dyDescent="0.2">
      <c r="A587" s="2"/>
    </row>
    <row r="588" spans="1:1" ht="12.75" x14ac:dyDescent="0.2">
      <c r="A588" s="2"/>
    </row>
    <row r="589" spans="1:1" ht="12.75" x14ac:dyDescent="0.2">
      <c r="A589" s="2"/>
    </row>
    <row r="590" spans="1:1" ht="12.75" x14ac:dyDescent="0.2">
      <c r="A590" s="2"/>
    </row>
    <row r="591" spans="1:1" ht="12.75" x14ac:dyDescent="0.2">
      <c r="A591" s="2"/>
    </row>
    <row r="592" spans="1:1" ht="12.75" x14ac:dyDescent="0.2">
      <c r="A592" s="2"/>
    </row>
    <row r="593" spans="1:1" ht="12.75" x14ac:dyDescent="0.2">
      <c r="A593" s="2"/>
    </row>
    <row r="594" spans="1:1" ht="12.75" x14ac:dyDescent="0.2">
      <c r="A594" s="2"/>
    </row>
    <row r="595" spans="1:1" ht="12.75" x14ac:dyDescent="0.2">
      <c r="A595" s="2"/>
    </row>
    <row r="596" spans="1:1" ht="12.75" x14ac:dyDescent="0.2">
      <c r="A596" s="2"/>
    </row>
    <row r="597" spans="1:1" ht="12.75" x14ac:dyDescent="0.2">
      <c r="A597" s="2"/>
    </row>
    <row r="598" spans="1:1" ht="12.75" x14ac:dyDescent="0.2">
      <c r="A598" s="2"/>
    </row>
    <row r="599" spans="1:1" ht="12.75" x14ac:dyDescent="0.2">
      <c r="A599" s="2"/>
    </row>
    <row r="600" spans="1:1" ht="12.75" x14ac:dyDescent="0.2">
      <c r="A600" s="2"/>
    </row>
    <row r="601" spans="1:1" ht="12.75" x14ac:dyDescent="0.2">
      <c r="A601" s="2"/>
    </row>
    <row r="602" spans="1:1" ht="12.75" x14ac:dyDescent="0.2">
      <c r="A602" s="2"/>
    </row>
    <row r="603" spans="1:1" ht="12.75" x14ac:dyDescent="0.2">
      <c r="A603" s="2"/>
    </row>
    <row r="604" spans="1:1" ht="12.75" x14ac:dyDescent="0.2">
      <c r="A604" s="2"/>
    </row>
    <row r="605" spans="1:1" ht="12.75" x14ac:dyDescent="0.2">
      <c r="A605" s="2"/>
    </row>
    <row r="606" spans="1:1" ht="12.75" x14ac:dyDescent="0.2">
      <c r="A606" s="2"/>
    </row>
    <row r="607" spans="1:1" ht="12.75" x14ac:dyDescent="0.2">
      <c r="A607" s="2"/>
    </row>
    <row r="608" spans="1:1" ht="12.75" x14ac:dyDescent="0.2">
      <c r="A608" s="2"/>
    </row>
    <row r="609" spans="1:1" ht="12.75" x14ac:dyDescent="0.2">
      <c r="A609" s="2"/>
    </row>
    <row r="610" spans="1:1" ht="12.75" x14ac:dyDescent="0.2">
      <c r="A610" s="2"/>
    </row>
    <row r="611" spans="1:1" ht="12.75" x14ac:dyDescent="0.2">
      <c r="A611" s="2"/>
    </row>
    <row r="612" spans="1:1" ht="12.75" x14ac:dyDescent="0.2">
      <c r="A612" s="2"/>
    </row>
    <row r="613" spans="1:1" ht="12.75" x14ac:dyDescent="0.2">
      <c r="A613" s="2"/>
    </row>
    <row r="614" spans="1:1" ht="12.75" x14ac:dyDescent="0.2">
      <c r="A614" s="2"/>
    </row>
    <row r="615" spans="1:1" ht="12.75" x14ac:dyDescent="0.2">
      <c r="A615" s="2"/>
    </row>
    <row r="616" spans="1:1" ht="12.75" x14ac:dyDescent="0.2">
      <c r="A616" s="2"/>
    </row>
    <row r="617" spans="1:1" ht="12.75" x14ac:dyDescent="0.2">
      <c r="A617" s="2"/>
    </row>
    <row r="618" spans="1:1" ht="12.75" x14ac:dyDescent="0.2">
      <c r="A618" s="2"/>
    </row>
    <row r="619" spans="1:1" ht="12.75" x14ac:dyDescent="0.2">
      <c r="A619" s="2"/>
    </row>
    <row r="620" spans="1:1" ht="12.75" x14ac:dyDescent="0.2">
      <c r="A620" s="2"/>
    </row>
    <row r="621" spans="1:1" ht="12.75" x14ac:dyDescent="0.2">
      <c r="A621" s="2"/>
    </row>
    <row r="622" spans="1:1" ht="12.75" x14ac:dyDescent="0.2">
      <c r="A622" s="2"/>
    </row>
    <row r="623" spans="1:1" ht="12.75" x14ac:dyDescent="0.2">
      <c r="A623" s="2"/>
    </row>
    <row r="624" spans="1:1" ht="12.75" x14ac:dyDescent="0.2">
      <c r="A624" s="2"/>
    </row>
    <row r="625" spans="1:1" ht="12.75" x14ac:dyDescent="0.2">
      <c r="A625" s="2"/>
    </row>
    <row r="626" spans="1:1" ht="12.75" x14ac:dyDescent="0.2">
      <c r="A626" s="2"/>
    </row>
    <row r="627" spans="1:1" ht="12.75" x14ac:dyDescent="0.2">
      <c r="A627" s="2"/>
    </row>
    <row r="628" spans="1:1" ht="12.75" x14ac:dyDescent="0.2">
      <c r="A628" s="2"/>
    </row>
    <row r="629" spans="1:1" ht="12.75" x14ac:dyDescent="0.2">
      <c r="A629" s="2"/>
    </row>
    <row r="630" spans="1:1" ht="12.75" x14ac:dyDescent="0.2">
      <c r="A630" s="2"/>
    </row>
    <row r="631" spans="1:1" ht="12.75" x14ac:dyDescent="0.2">
      <c r="A631" s="2"/>
    </row>
    <row r="632" spans="1:1" ht="12.75" x14ac:dyDescent="0.2">
      <c r="A632" s="2"/>
    </row>
    <row r="633" spans="1:1" ht="12.75" x14ac:dyDescent="0.2">
      <c r="A633" s="2"/>
    </row>
    <row r="634" spans="1:1" ht="12.75" x14ac:dyDescent="0.2">
      <c r="A634" s="2"/>
    </row>
    <row r="635" spans="1:1" ht="12.75" x14ac:dyDescent="0.2">
      <c r="A635" s="2"/>
    </row>
    <row r="636" spans="1:1" ht="12.75" x14ac:dyDescent="0.2">
      <c r="A636" s="2"/>
    </row>
    <row r="637" spans="1:1" ht="12.75" x14ac:dyDescent="0.2">
      <c r="A637" s="2"/>
    </row>
    <row r="638" spans="1:1" ht="12.75" x14ac:dyDescent="0.2">
      <c r="A638" s="2"/>
    </row>
    <row r="639" spans="1:1" ht="12.75" x14ac:dyDescent="0.2">
      <c r="A639" s="2"/>
    </row>
    <row r="640" spans="1:1" ht="12.75" x14ac:dyDescent="0.2">
      <c r="A640" s="2"/>
    </row>
    <row r="641" spans="1:1" ht="12.75" x14ac:dyDescent="0.2">
      <c r="A641" s="2"/>
    </row>
    <row r="642" spans="1:1" ht="12.75" x14ac:dyDescent="0.2">
      <c r="A642" s="2"/>
    </row>
    <row r="643" spans="1:1" ht="12.75" x14ac:dyDescent="0.2">
      <c r="A643" s="2"/>
    </row>
    <row r="644" spans="1:1" ht="12.75" x14ac:dyDescent="0.2">
      <c r="A644" s="2"/>
    </row>
    <row r="645" spans="1:1" ht="12.75" x14ac:dyDescent="0.2">
      <c r="A645" s="2"/>
    </row>
    <row r="646" spans="1:1" ht="12.75" x14ac:dyDescent="0.2">
      <c r="A646" s="2"/>
    </row>
    <row r="647" spans="1:1" ht="12.75" x14ac:dyDescent="0.2">
      <c r="A647" s="2"/>
    </row>
    <row r="648" spans="1:1" ht="12.75" x14ac:dyDescent="0.2">
      <c r="A648" s="2"/>
    </row>
    <row r="649" spans="1:1" ht="12.75" x14ac:dyDescent="0.2">
      <c r="A649" s="2"/>
    </row>
    <row r="650" spans="1:1" ht="12.75" x14ac:dyDescent="0.2">
      <c r="A650" s="2"/>
    </row>
    <row r="651" spans="1:1" ht="12.75" x14ac:dyDescent="0.2">
      <c r="A651" s="2"/>
    </row>
    <row r="652" spans="1:1" ht="12.75" x14ac:dyDescent="0.2">
      <c r="A652" s="2"/>
    </row>
    <row r="653" spans="1:1" ht="12.75" x14ac:dyDescent="0.2">
      <c r="A653" s="2"/>
    </row>
    <row r="654" spans="1:1" ht="12.75" x14ac:dyDescent="0.2">
      <c r="A654" s="2"/>
    </row>
    <row r="655" spans="1:1" ht="12.75" x14ac:dyDescent="0.2">
      <c r="A655" s="2"/>
    </row>
    <row r="656" spans="1:1" ht="12.75" x14ac:dyDescent="0.2">
      <c r="A656" s="2"/>
    </row>
    <row r="657" spans="1:1" ht="12.75" x14ac:dyDescent="0.2">
      <c r="A657" s="2"/>
    </row>
    <row r="658" spans="1:1" ht="12.75" x14ac:dyDescent="0.2">
      <c r="A658" s="2"/>
    </row>
    <row r="659" spans="1:1" ht="12.75" x14ac:dyDescent="0.2">
      <c r="A659" s="2"/>
    </row>
    <row r="660" spans="1:1" ht="12.75" x14ac:dyDescent="0.2">
      <c r="A660" s="2"/>
    </row>
    <row r="661" spans="1:1" ht="12.75" x14ac:dyDescent="0.2">
      <c r="A661" s="2"/>
    </row>
    <row r="662" spans="1:1" ht="12.75" x14ac:dyDescent="0.2">
      <c r="A662" s="2"/>
    </row>
    <row r="663" spans="1:1" ht="12.75" x14ac:dyDescent="0.2">
      <c r="A663" s="2"/>
    </row>
    <row r="664" spans="1:1" ht="12.75" x14ac:dyDescent="0.2">
      <c r="A664" s="2"/>
    </row>
    <row r="665" spans="1:1" ht="12.75" x14ac:dyDescent="0.2">
      <c r="A665" s="2"/>
    </row>
    <row r="666" spans="1:1" ht="12.75" x14ac:dyDescent="0.2">
      <c r="A666" s="2"/>
    </row>
    <row r="667" spans="1:1" ht="12.75" x14ac:dyDescent="0.2">
      <c r="A667" s="2"/>
    </row>
    <row r="668" spans="1:1" ht="12.75" x14ac:dyDescent="0.2">
      <c r="A668" s="2"/>
    </row>
    <row r="669" spans="1:1" ht="12.75" x14ac:dyDescent="0.2">
      <c r="A669" s="2"/>
    </row>
    <row r="670" spans="1:1" ht="12.75" x14ac:dyDescent="0.2">
      <c r="A670" s="2"/>
    </row>
    <row r="671" spans="1:1" ht="12.75" x14ac:dyDescent="0.2">
      <c r="A671" s="2"/>
    </row>
    <row r="672" spans="1:1" ht="12.75" x14ac:dyDescent="0.2">
      <c r="A672" s="2"/>
    </row>
    <row r="673" spans="1:1" ht="12.75" x14ac:dyDescent="0.2">
      <c r="A673" s="2"/>
    </row>
    <row r="674" spans="1:1" ht="12.75" x14ac:dyDescent="0.2">
      <c r="A674" s="2"/>
    </row>
    <row r="675" spans="1:1" ht="12.75" x14ac:dyDescent="0.2">
      <c r="A675" s="2"/>
    </row>
    <row r="676" spans="1:1" ht="12.75" x14ac:dyDescent="0.2">
      <c r="A676" s="2"/>
    </row>
    <row r="677" spans="1:1" ht="12.75" x14ac:dyDescent="0.2">
      <c r="A677" s="2"/>
    </row>
    <row r="678" spans="1:1" ht="12.75" x14ac:dyDescent="0.2">
      <c r="A678" s="2"/>
    </row>
    <row r="679" spans="1:1" ht="12.75" x14ac:dyDescent="0.2">
      <c r="A679" s="2"/>
    </row>
    <row r="680" spans="1:1" ht="12.75" x14ac:dyDescent="0.2">
      <c r="A680" s="2"/>
    </row>
    <row r="681" spans="1:1" ht="12.75" x14ac:dyDescent="0.2">
      <c r="A681" s="2"/>
    </row>
    <row r="682" spans="1:1" ht="12.75" x14ac:dyDescent="0.2">
      <c r="A682" s="2"/>
    </row>
    <row r="683" spans="1:1" ht="12.75" x14ac:dyDescent="0.2">
      <c r="A683" s="2"/>
    </row>
    <row r="684" spans="1:1" ht="12.75" x14ac:dyDescent="0.2">
      <c r="A684" s="2"/>
    </row>
    <row r="685" spans="1:1" ht="12.75" x14ac:dyDescent="0.2">
      <c r="A685" s="2"/>
    </row>
    <row r="686" spans="1:1" ht="12.75" x14ac:dyDescent="0.2">
      <c r="A686" s="2"/>
    </row>
    <row r="687" spans="1:1" ht="12.75" x14ac:dyDescent="0.2">
      <c r="A687" s="2"/>
    </row>
    <row r="688" spans="1:1" ht="12.75" x14ac:dyDescent="0.2">
      <c r="A688" s="2"/>
    </row>
    <row r="689" spans="1:1" ht="12.75" x14ac:dyDescent="0.2">
      <c r="A689" s="2"/>
    </row>
    <row r="690" spans="1:1" ht="12.75" x14ac:dyDescent="0.2">
      <c r="A690" s="2"/>
    </row>
    <row r="691" spans="1:1" ht="12.75" x14ac:dyDescent="0.2">
      <c r="A691" s="2"/>
    </row>
    <row r="692" spans="1:1" ht="12.75" x14ac:dyDescent="0.2">
      <c r="A692" s="2"/>
    </row>
    <row r="693" spans="1:1" ht="12.75" x14ac:dyDescent="0.2">
      <c r="A693" s="2"/>
    </row>
    <row r="694" spans="1:1" ht="12.75" x14ac:dyDescent="0.2">
      <c r="A694" s="2"/>
    </row>
    <row r="695" spans="1:1" ht="12.75" x14ac:dyDescent="0.2">
      <c r="A695" s="2"/>
    </row>
    <row r="696" spans="1:1" ht="12.75" x14ac:dyDescent="0.2">
      <c r="A696" s="2"/>
    </row>
    <row r="697" spans="1:1" ht="12.75" x14ac:dyDescent="0.2">
      <c r="A697" s="2"/>
    </row>
    <row r="698" spans="1:1" ht="12.75" x14ac:dyDescent="0.2">
      <c r="A698" s="2"/>
    </row>
    <row r="699" spans="1:1" ht="12.75" x14ac:dyDescent="0.2">
      <c r="A699" s="2"/>
    </row>
    <row r="700" spans="1:1" ht="12.75" x14ac:dyDescent="0.2">
      <c r="A700" s="2"/>
    </row>
    <row r="701" spans="1:1" ht="12.75" x14ac:dyDescent="0.2">
      <c r="A701" s="2"/>
    </row>
    <row r="702" spans="1:1" ht="12.75" x14ac:dyDescent="0.2">
      <c r="A702" s="2"/>
    </row>
    <row r="703" spans="1:1" ht="12.75" x14ac:dyDescent="0.2">
      <c r="A703" s="2"/>
    </row>
    <row r="704" spans="1:1" ht="12.75" x14ac:dyDescent="0.2">
      <c r="A704" s="2"/>
    </row>
    <row r="705" spans="1:1" ht="12.75" x14ac:dyDescent="0.2">
      <c r="A705" s="2"/>
    </row>
    <row r="706" spans="1:1" ht="12.75" x14ac:dyDescent="0.2">
      <c r="A706" s="2"/>
    </row>
    <row r="707" spans="1:1" ht="12.75" x14ac:dyDescent="0.2">
      <c r="A707" s="2"/>
    </row>
    <row r="708" spans="1:1" ht="12.75" x14ac:dyDescent="0.2">
      <c r="A708" s="2"/>
    </row>
    <row r="709" spans="1:1" ht="12.75" x14ac:dyDescent="0.2">
      <c r="A709" s="2"/>
    </row>
    <row r="710" spans="1:1" ht="12.75" x14ac:dyDescent="0.2">
      <c r="A710" s="2"/>
    </row>
    <row r="711" spans="1:1" ht="12.75" x14ac:dyDescent="0.2">
      <c r="A711" s="2"/>
    </row>
    <row r="712" spans="1:1" ht="12.75" x14ac:dyDescent="0.2">
      <c r="A712" s="2"/>
    </row>
    <row r="713" spans="1:1" ht="12.75" x14ac:dyDescent="0.2">
      <c r="A713" s="2"/>
    </row>
    <row r="714" spans="1:1" ht="12.75" x14ac:dyDescent="0.2">
      <c r="A714" s="2"/>
    </row>
    <row r="715" spans="1:1" ht="12.75" x14ac:dyDescent="0.2">
      <c r="A715" s="2"/>
    </row>
    <row r="716" spans="1:1" ht="12.75" x14ac:dyDescent="0.2">
      <c r="A716" s="2"/>
    </row>
    <row r="717" spans="1:1" ht="12.75" x14ac:dyDescent="0.2">
      <c r="A717" s="2"/>
    </row>
    <row r="718" spans="1:1" ht="12.75" x14ac:dyDescent="0.2">
      <c r="A718" s="2"/>
    </row>
    <row r="719" spans="1:1" ht="12.75" x14ac:dyDescent="0.2">
      <c r="A719" s="2"/>
    </row>
    <row r="720" spans="1:1" ht="12.75" x14ac:dyDescent="0.2">
      <c r="A720" s="2"/>
    </row>
    <row r="721" spans="1:1" ht="12.75" x14ac:dyDescent="0.2">
      <c r="A721" s="2"/>
    </row>
    <row r="722" spans="1:1" ht="12.75" x14ac:dyDescent="0.2">
      <c r="A722" s="2"/>
    </row>
    <row r="723" spans="1:1" ht="12.75" x14ac:dyDescent="0.2">
      <c r="A723" s="2"/>
    </row>
    <row r="724" spans="1:1" ht="12.75" x14ac:dyDescent="0.2">
      <c r="A724" s="2"/>
    </row>
    <row r="725" spans="1:1" ht="12.75" x14ac:dyDescent="0.2">
      <c r="A725" s="2"/>
    </row>
    <row r="726" spans="1:1" ht="12.75" x14ac:dyDescent="0.2">
      <c r="A726" s="2"/>
    </row>
    <row r="727" spans="1:1" ht="12.75" x14ac:dyDescent="0.2">
      <c r="A727" s="2"/>
    </row>
    <row r="728" spans="1:1" ht="12.75" x14ac:dyDescent="0.2">
      <c r="A728" s="2"/>
    </row>
    <row r="729" spans="1:1" ht="12.75" x14ac:dyDescent="0.2">
      <c r="A729" s="2"/>
    </row>
    <row r="730" spans="1:1" ht="12.75" x14ac:dyDescent="0.2">
      <c r="A730" s="2"/>
    </row>
    <row r="731" spans="1:1" ht="12.75" x14ac:dyDescent="0.2">
      <c r="A731" s="2"/>
    </row>
    <row r="732" spans="1:1" ht="12.75" x14ac:dyDescent="0.2">
      <c r="A732" s="2"/>
    </row>
    <row r="733" spans="1:1" ht="12.75" x14ac:dyDescent="0.2">
      <c r="A733" s="2"/>
    </row>
    <row r="734" spans="1:1" ht="12.75" x14ac:dyDescent="0.2">
      <c r="A734" s="2"/>
    </row>
    <row r="735" spans="1:1" ht="12.75" x14ac:dyDescent="0.2">
      <c r="A735" s="2"/>
    </row>
    <row r="736" spans="1:1" ht="12.75" x14ac:dyDescent="0.2">
      <c r="A736" s="2"/>
    </row>
    <row r="737" spans="1:1" ht="12.75" x14ac:dyDescent="0.2">
      <c r="A737" s="2"/>
    </row>
    <row r="738" spans="1:1" ht="12.75" x14ac:dyDescent="0.2">
      <c r="A738" s="2"/>
    </row>
    <row r="739" spans="1:1" ht="12.75" x14ac:dyDescent="0.2">
      <c r="A739" s="2"/>
    </row>
    <row r="740" spans="1:1" ht="12.75" x14ac:dyDescent="0.2">
      <c r="A740" s="2"/>
    </row>
    <row r="741" spans="1:1" ht="12.75" x14ac:dyDescent="0.2">
      <c r="A741" s="2"/>
    </row>
    <row r="742" spans="1:1" ht="12.75" x14ac:dyDescent="0.2">
      <c r="A742" s="2"/>
    </row>
    <row r="743" spans="1:1" ht="12.75" x14ac:dyDescent="0.2">
      <c r="A743" s="2"/>
    </row>
    <row r="744" spans="1:1" ht="12.75" x14ac:dyDescent="0.2">
      <c r="A744" s="2"/>
    </row>
    <row r="745" spans="1:1" ht="12.75" x14ac:dyDescent="0.2">
      <c r="A745" s="2"/>
    </row>
    <row r="746" spans="1:1" ht="12.75" x14ac:dyDescent="0.2">
      <c r="A746" s="2"/>
    </row>
    <row r="747" spans="1:1" ht="12.75" x14ac:dyDescent="0.2">
      <c r="A747" s="2"/>
    </row>
    <row r="748" spans="1:1" ht="12.75" x14ac:dyDescent="0.2">
      <c r="A748" s="2"/>
    </row>
    <row r="749" spans="1:1" ht="12.75" x14ac:dyDescent="0.2">
      <c r="A749" s="2"/>
    </row>
    <row r="750" spans="1:1" ht="12.75" x14ac:dyDescent="0.2">
      <c r="A750" s="2"/>
    </row>
    <row r="751" spans="1:1" ht="12.75" x14ac:dyDescent="0.2">
      <c r="A751" s="2"/>
    </row>
    <row r="752" spans="1:1" ht="12.75" x14ac:dyDescent="0.2">
      <c r="A752" s="2"/>
    </row>
    <row r="753" spans="1:1" ht="12.75" x14ac:dyDescent="0.2">
      <c r="A753" s="2"/>
    </row>
    <row r="754" spans="1:1" ht="12.75" x14ac:dyDescent="0.2">
      <c r="A754" s="2"/>
    </row>
    <row r="755" spans="1:1" ht="12.75" x14ac:dyDescent="0.2">
      <c r="A755" s="2"/>
    </row>
    <row r="756" spans="1:1" ht="12.75" x14ac:dyDescent="0.2">
      <c r="A756" s="2"/>
    </row>
    <row r="757" spans="1:1" ht="12.75" x14ac:dyDescent="0.2">
      <c r="A757" s="2"/>
    </row>
    <row r="758" spans="1:1" ht="12.75" x14ac:dyDescent="0.2">
      <c r="A758" s="2"/>
    </row>
    <row r="759" spans="1:1" ht="12.75" x14ac:dyDescent="0.2">
      <c r="A759" s="2"/>
    </row>
    <row r="760" spans="1:1" ht="12.75" x14ac:dyDescent="0.2">
      <c r="A760" s="2"/>
    </row>
    <row r="761" spans="1:1" ht="12.75" x14ac:dyDescent="0.2">
      <c r="A761" s="2"/>
    </row>
    <row r="762" spans="1:1" ht="12.75" x14ac:dyDescent="0.2">
      <c r="A762" s="2"/>
    </row>
    <row r="763" spans="1:1" ht="12.75" x14ac:dyDescent="0.2">
      <c r="A763" s="2"/>
    </row>
    <row r="764" spans="1:1" ht="12.75" x14ac:dyDescent="0.2">
      <c r="A764" s="2"/>
    </row>
    <row r="765" spans="1:1" ht="12.75" x14ac:dyDescent="0.2">
      <c r="A765" s="2"/>
    </row>
    <row r="766" spans="1:1" ht="12.75" x14ac:dyDescent="0.2">
      <c r="A766" s="2"/>
    </row>
    <row r="767" spans="1:1" ht="12.75" x14ac:dyDescent="0.2">
      <c r="A767" s="2"/>
    </row>
    <row r="768" spans="1:1" ht="12.75" x14ac:dyDescent="0.2">
      <c r="A768" s="2"/>
    </row>
    <row r="769" spans="1:1" ht="12.75" x14ac:dyDescent="0.2">
      <c r="A769" s="2"/>
    </row>
    <row r="770" spans="1:1" ht="12.75" x14ac:dyDescent="0.2">
      <c r="A770" s="2"/>
    </row>
    <row r="771" spans="1:1" ht="12.75" x14ac:dyDescent="0.2">
      <c r="A771" s="2"/>
    </row>
    <row r="772" spans="1:1" ht="12.75" x14ac:dyDescent="0.2">
      <c r="A772" s="2"/>
    </row>
    <row r="773" spans="1:1" ht="12.75" x14ac:dyDescent="0.2">
      <c r="A773" s="2"/>
    </row>
    <row r="774" spans="1:1" ht="12.75" x14ac:dyDescent="0.2">
      <c r="A774" s="2"/>
    </row>
    <row r="775" spans="1:1" ht="12.75" x14ac:dyDescent="0.2">
      <c r="A775" s="2"/>
    </row>
    <row r="776" spans="1:1" ht="12.75" x14ac:dyDescent="0.2">
      <c r="A776" s="2"/>
    </row>
    <row r="777" spans="1:1" ht="12.75" x14ac:dyDescent="0.2">
      <c r="A777" s="2"/>
    </row>
    <row r="778" spans="1:1" ht="12.75" x14ac:dyDescent="0.2">
      <c r="A778" s="2"/>
    </row>
    <row r="779" spans="1:1" ht="12.75" x14ac:dyDescent="0.2">
      <c r="A779" s="2"/>
    </row>
    <row r="780" spans="1:1" ht="12.75" x14ac:dyDescent="0.2">
      <c r="A780" s="2"/>
    </row>
    <row r="781" spans="1:1" ht="12.75" x14ac:dyDescent="0.2">
      <c r="A781" s="2"/>
    </row>
    <row r="782" spans="1:1" ht="12.75" x14ac:dyDescent="0.2">
      <c r="A782" s="2"/>
    </row>
    <row r="783" spans="1:1" ht="12.75" x14ac:dyDescent="0.2">
      <c r="A783" s="2"/>
    </row>
    <row r="784" spans="1:1" ht="12.75" x14ac:dyDescent="0.2">
      <c r="A784" s="2"/>
    </row>
    <row r="785" spans="1:1" ht="12.75" x14ac:dyDescent="0.2">
      <c r="A785" s="2"/>
    </row>
    <row r="786" spans="1:1" ht="12.75" x14ac:dyDescent="0.2">
      <c r="A786" s="2"/>
    </row>
    <row r="787" spans="1:1" ht="12.75" x14ac:dyDescent="0.2">
      <c r="A787" s="2"/>
    </row>
    <row r="788" spans="1:1" ht="12.75" x14ac:dyDescent="0.2">
      <c r="A788" s="2"/>
    </row>
    <row r="789" spans="1:1" ht="12.75" x14ac:dyDescent="0.2">
      <c r="A789" s="2"/>
    </row>
    <row r="790" spans="1:1" ht="12.75" x14ac:dyDescent="0.2">
      <c r="A790" s="2"/>
    </row>
    <row r="791" spans="1:1" ht="12.75" x14ac:dyDescent="0.2">
      <c r="A791" s="2"/>
    </row>
    <row r="792" spans="1:1" ht="12.75" x14ac:dyDescent="0.2">
      <c r="A792" s="2"/>
    </row>
    <row r="793" spans="1:1" ht="12.75" x14ac:dyDescent="0.2">
      <c r="A793" s="2"/>
    </row>
    <row r="794" spans="1:1" ht="12.75" x14ac:dyDescent="0.2">
      <c r="A794" s="2"/>
    </row>
    <row r="795" spans="1:1" ht="12.75" x14ac:dyDescent="0.2">
      <c r="A795" s="2"/>
    </row>
    <row r="796" spans="1:1" ht="12.75" x14ac:dyDescent="0.2">
      <c r="A796" s="2"/>
    </row>
    <row r="797" spans="1:1" ht="12.75" x14ac:dyDescent="0.2">
      <c r="A797" s="2"/>
    </row>
    <row r="798" spans="1:1" ht="12.75" x14ac:dyDescent="0.2">
      <c r="A798" s="2"/>
    </row>
    <row r="799" spans="1:1" ht="12.75" x14ac:dyDescent="0.2">
      <c r="A799" s="2"/>
    </row>
    <row r="800" spans="1:1" ht="12.75" x14ac:dyDescent="0.2">
      <c r="A800" s="2"/>
    </row>
    <row r="801" spans="1:1" ht="12.75" x14ac:dyDescent="0.2">
      <c r="A801" s="2"/>
    </row>
    <row r="802" spans="1:1" ht="12.75" x14ac:dyDescent="0.2">
      <c r="A802" s="2"/>
    </row>
    <row r="803" spans="1:1" ht="12.75" x14ac:dyDescent="0.2">
      <c r="A803" s="2"/>
    </row>
    <row r="804" spans="1:1" ht="12.75" x14ac:dyDescent="0.2">
      <c r="A804" s="2"/>
    </row>
    <row r="805" spans="1:1" ht="12.75" x14ac:dyDescent="0.2">
      <c r="A805" s="2"/>
    </row>
    <row r="806" spans="1:1" ht="12.75" x14ac:dyDescent="0.2">
      <c r="A806" s="2"/>
    </row>
    <row r="807" spans="1:1" ht="12.75" x14ac:dyDescent="0.2">
      <c r="A807" s="2"/>
    </row>
    <row r="808" spans="1:1" ht="12.75" x14ac:dyDescent="0.2">
      <c r="A808" s="2"/>
    </row>
    <row r="809" spans="1:1" ht="12.75" x14ac:dyDescent="0.2">
      <c r="A809" s="2"/>
    </row>
    <row r="810" spans="1:1" ht="12.75" x14ac:dyDescent="0.2">
      <c r="A810" s="2"/>
    </row>
    <row r="811" spans="1:1" ht="12.75" x14ac:dyDescent="0.2">
      <c r="A811" s="2"/>
    </row>
    <row r="812" spans="1:1" ht="12.75" x14ac:dyDescent="0.2">
      <c r="A812" s="2"/>
    </row>
    <row r="813" spans="1:1" ht="12.75" x14ac:dyDescent="0.2">
      <c r="A813" s="2"/>
    </row>
    <row r="814" spans="1:1" ht="12.75" x14ac:dyDescent="0.2">
      <c r="A814" s="2"/>
    </row>
    <row r="815" spans="1:1" ht="12.75" x14ac:dyDescent="0.2">
      <c r="A815" s="2"/>
    </row>
    <row r="816" spans="1:1" ht="12.75" x14ac:dyDescent="0.2">
      <c r="A816" s="2"/>
    </row>
    <row r="817" spans="1:1" ht="12.75" x14ac:dyDescent="0.2">
      <c r="A817" s="2"/>
    </row>
    <row r="818" spans="1:1" ht="12.75" x14ac:dyDescent="0.2">
      <c r="A818" s="2"/>
    </row>
    <row r="819" spans="1:1" ht="12.75" x14ac:dyDescent="0.2">
      <c r="A819" s="2"/>
    </row>
    <row r="820" spans="1:1" ht="12.75" x14ac:dyDescent="0.2">
      <c r="A820" s="2"/>
    </row>
    <row r="821" spans="1:1" ht="12.75" x14ac:dyDescent="0.2">
      <c r="A821" s="2"/>
    </row>
    <row r="822" spans="1:1" ht="12.75" x14ac:dyDescent="0.2">
      <c r="A822" s="2"/>
    </row>
    <row r="823" spans="1:1" ht="12.75" x14ac:dyDescent="0.2">
      <c r="A823" s="2"/>
    </row>
    <row r="824" spans="1:1" ht="12.75" x14ac:dyDescent="0.2">
      <c r="A824" s="2"/>
    </row>
    <row r="825" spans="1:1" ht="12.75" x14ac:dyDescent="0.2">
      <c r="A825" s="2"/>
    </row>
    <row r="826" spans="1:1" ht="12.75" x14ac:dyDescent="0.2">
      <c r="A826" s="2"/>
    </row>
    <row r="827" spans="1:1" ht="12.75" x14ac:dyDescent="0.2">
      <c r="A827" s="2"/>
    </row>
    <row r="828" spans="1:1" ht="12.75" x14ac:dyDescent="0.2">
      <c r="A828" s="2"/>
    </row>
    <row r="829" spans="1:1" ht="12.75" x14ac:dyDescent="0.2">
      <c r="A829" s="2"/>
    </row>
    <row r="830" spans="1:1" ht="12.75" x14ac:dyDescent="0.2">
      <c r="A830" s="2"/>
    </row>
    <row r="831" spans="1:1" ht="12.75" x14ac:dyDescent="0.2">
      <c r="A831" s="2"/>
    </row>
    <row r="832" spans="1:1" ht="12.75" x14ac:dyDescent="0.2">
      <c r="A832" s="2"/>
    </row>
    <row r="833" spans="1:1" ht="12.75" x14ac:dyDescent="0.2">
      <c r="A833" s="2"/>
    </row>
    <row r="834" spans="1:1" ht="12.75" x14ac:dyDescent="0.2">
      <c r="A834" s="2"/>
    </row>
    <row r="835" spans="1:1" ht="12.75" x14ac:dyDescent="0.2">
      <c r="A835" s="2"/>
    </row>
    <row r="836" spans="1:1" ht="12.75" x14ac:dyDescent="0.2">
      <c r="A836" s="2"/>
    </row>
    <row r="837" spans="1:1" ht="12.75" x14ac:dyDescent="0.2">
      <c r="A837" s="2"/>
    </row>
    <row r="838" spans="1:1" ht="12.75" x14ac:dyDescent="0.2">
      <c r="A838" s="2"/>
    </row>
    <row r="839" spans="1:1" ht="12.75" x14ac:dyDescent="0.2">
      <c r="A839" s="2"/>
    </row>
    <row r="840" spans="1:1" ht="12.75" x14ac:dyDescent="0.2">
      <c r="A840" s="2"/>
    </row>
    <row r="841" spans="1:1" ht="12.75" x14ac:dyDescent="0.2">
      <c r="A841" s="2"/>
    </row>
    <row r="842" spans="1:1" ht="12.75" x14ac:dyDescent="0.2">
      <c r="A842" s="2"/>
    </row>
    <row r="843" spans="1:1" ht="12.75" x14ac:dyDescent="0.2">
      <c r="A843" s="2"/>
    </row>
    <row r="844" spans="1:1" ht="12.75" x14ac:dyDescent="0.2">
      <c r="A844" s="2"/>
    </row>
    <row r="845" spans="1:1" ht="12.75" x14ac:dyDescent="0.2">
      <c r="A845" s="2"/>
    </row>
    <row r="846" spans="1:1" ht="12.75" x14ac:dyDescent="0.2">
      <c r="A846" s="2"/>
    </row>
    <row r="847" spans="1:1" ht="12.75" x14ac:dyDescent="0.2">
      <c r="A847" s="2"/>
    </row>
    <row r="848" spans="1:1" ht="12.75" x14ac:dyDescent="0.2">
      <c r="A848" s="2"/>
    </row>
    <row r="849" spans="1:1" ht="12.75" x14ac:dyDescent="0.2">
      <c r="A849" s="2"/>
    </row>
    <row r="850" spans="1:1" ht="12.75" x14ac:dyDescent="0.2">
      <c r="A850" s="2"/>
    </row>
    <row r="851" spans="1:1" ht="12.75" x14ac:dyDescent="0.2">
      <c r="A851" s="2"/>
    </row>
    <row r="852" spans="1:1" ht="12.75" x14ac:dyDescent="0.2">
      <c r="A852" s="2"/>
    </row>
    <row r="853" spans="1:1" ht="12.75" x14ac:dyDescent="0.2">
      <c r="A853" s="2"/>
    </row>
    <row r="854" spans="1:1" ht="12.75" x14ac:dyDescent="0.2">
      <c r="A854" s="2"/>
    </row>
    <row r="855" spans="1:1" ht="12.75" x14ac:dyDescent="0.2">
      <c r="A855" s="2"/>
    </row>
    <row r="856" spans="1:1" ht="12.75" x14ac:dyDescent="0.2">
      <c r="A856" s="2"/>
    </row>
    <row r="857" spans="1:1" ht="12.75" x14ac:dyDescent="0.2">
      <c r="A857" s="2"/>
    </row>
    <row r="858" spans="1:1" ht="12.75" x14ac:dyDescent="0.2">
      <c r="A858" s="2"/>
    </row>
    <row r="859" spans="1:1" ht="12.75" x14ac:dyDescent="0.2">
      <c r="A859" s="2"/>
    </row>
    <row r="860" spans="1:1" ht="12.75" x14ac:dyDescent="0.2">
      <c r="A860" s="2"/>
    </row>
    <row r="861" spans="1:1" ht="12.75" x14ac:dyDescent="0.2">
      <c r="A861" s="2"/>
    </row>
    <row r="862" spans="1:1" ht="12.75" x14ac:dyDescent="0.2">
      <c r="A862" s="2"/>
    </row>
    <row r="863" spans="1:1" ht="12.75" x14ac:dyDescent="0.2">
      <c r="A863" s="2"/>
    </row>
    <row r="864" spans="1:1" ht="12.75" x14ac:dyDescent="0.2">
      <c r="A864" s="2"/>
    </row>
    <row r="865" spans="1:1" ht="12.75" x14ac:dyDescent="0.2">
      <c r="A865" s="2"/>
    </row>
    <row r="866" spans="1:1" ht="12.75" x14ac:dyDescent="0.2">
      <c r="A866" s="2"/>
    </row>
    <row r="867" spans="1:1" ht="12.75" x14ac:dyDescent="0.2">
      <c r="A867" s="2"/>
    </row>
    <row r="868" spans="1:1" ht="12.75" x14ac:dyDescent="0.2">
      <c r="A868" s="2"/>
    </row>
    <row r="869" spans="1:1" ht="12.75" x14ac:dyDescent="0.2">
      <c r="A869" s="2"/>
    </row>
    <row r="870" spans="1:1" ht="12.75" x14ac:dyDescent="0.2">
      <c r="A870" s="2"/>
    </row>
    <row r="871" spans="1:1" ht="12.75" x14ac:dyDescent="0.2">
      <c r="A871" s="2"/>
    </row>
    <row r="872" spans="1:1" ht="12.75" x14ac:dyDescent="0.2">
      <c r="A872" s="2"/>
    </row>
    <row r="873" spans="1:1" ht="12.75" x14ac:dyDescent="0.2">
      <c r="A873" s="2"/>
    </row>
    <row r="874" spans="1:1" ht="12.75" x14ac:dyDescent="0.2">
      <c r="A874" s="2"/>
    </row>
    <row r="875" spans="1:1" ht="12.75" x14ac:dyDescent="0.2">
      <c r="A875" s="2"/>
    </row>
    <row r="876" spans="1:1" ht="12.75" x14ac:dyDescent="0.2">
      <c r="A876" s="2"/>
    </row>
    <row r="877" spans="1:1" ht="12.75" x14ac:dyDescent="0.2">
      <c r="A877" s="2"/>
    </row>
    <row r="878" spans="1:1" ht="12.75" x14ac:dyDescent="0.2">
      <c r="A878" s="2"/>
    </row>
    <row r="879" spans="1:1" ht="12.75" x14ac:dyDescent="0.2">
      <c r="A879" s="2"/>
    </row>
    <row r="880" spans="1:1" ht="12.75" x14ac:dyDescent="0.2">
      <c r="A880" s="2"/>
    </row>
    <row r="881" spans="1:1" ht="12.75" x14ac:dyDescent="0.2">
      <c r="A881" s="2"/>
    </row>
    <row r="882" spans="1:1" ht="12.75" x14ac:dyDescent="0.2">
      <c r="A882" s="2"/>
    </row>
    <row r="883" spans="1:1" ht="12.75" x14ac:dyDescent="0.2">
      <c r="A883" s="2"/>
    </row>
    <row r="884" spans="1:1" ht="12.75" x14ac:dyDescent="0.2">
      <c r="A884" s="2"/>
    </row>
    <row r="885" spans="1:1" ht="12.75" x14ac:dyDescent="0.2">
      <c r="A885" s="2"/>
    </row>
    <row r="886" spans="1:1" ht="12.75" x14ac:dyDescent="0.2">
      <c r="A886" s="2"/>
    </row>
    <row r="887" spans="1:1" ht="12.75" x14ac:dyDescent="0.2">
      <c r="A887" s="2"/>
    </row>
    <row r="888" spans="1:1" ht="12.75" x14ac:dyDescent="0.2">
      <c r="A888" s="2"/>
    </row>
    <row r="889" spans="1:1" ht="12.75" x14ac:dyDescent="0.2">
      <c r="A889" s="2"/>
    </row>
    <row r="890" spans="1:1" ht="12.75" x14ac:dyDescent="0.2">
      <c r="A890" s="2"/>
    </row>
    <row r="891" spans="1:1" ht="12.75" x14ac:dyDescent="0.2">
      <c r="A891" s="2"/>
    </row>
    <row r="892" spans="1:1" ht="12.75" x14ac:dyDescent="0.2">
      <c r="A892" s="2"/>
    </row>
    <row r="893" spans="1:1" ht="12.75" x14ac:dyDescent="0.2">
      <c r="A893" s="2"/>
    </row>
    <row r="894" spans="1:1" ht="12.75" x14ac:dyDescent="0.2">
      <c r="A894" s="2"/>
    </row>
    <row r="895" spans="1:1" ht="12.75" x14ac:dyDescent="0.2">
      <c r="A895" s="2"/>
    </row>
    <row r="896" spans="1:1" ht="12.75" x14ac:dyDescent="0.2">
      <c r="A896" s="2"/>
    </row>
    <row r="897" spans="1:1" ht="12.75" x14ac:dyDescent="0.2">
      <c r="A897" s="2"/>
    </row>
    <row r="898" spans="1:1" ht="12.75" x14ac:dyDescent="0.2">
      <c r="A898" s="2"/>
    </row>
    <row r="899" spans="1:1" ht="12.75" x14ac:dyDescent="0.2">
      <c r="A899" s="2"/>
    </row>
    <row r="900" spans="1:1" ht="12.75" x14ac:dyDescent="0.2">
      <c r="A900" s="2"/>
    </row>
    <row r="901" spans="1:1" ht="12.75" x14ac:dyDescent="0.2">
      <c r="A901" s="2"/>
    </row>
    <row r="902" spans="1:1" ht="12.75" x14ac:dyDescent="0.2">
      <c r="A902" s="2"/>
    </row>
    <row r="903" spans="1:1" ht="12.75" x14ac:dyDescent="0.2">
      <c r="A903" s="2"/>
    </row>
    <row r="904" spans="1:1" ht="12.75" x14ac:dyDescent="0.2">
      <c r="A904" s="2"/>
    </row>
    <row r="905" spans="1:1" ht="12.75" x14ac:dyDescent="0.2">
      <c r="A905" s="2"/>
    </row>
    <row r="906" spans="1:1" ht="12.75" x14ac:dyDescent="0.2">
      <c r="A906" s="2"/>
    </row>
    <row r="907" spans="1:1" ht="12.75" x14ac:dyDescent="0.2">
      <c r="A907" s="2"/>
    </row>
    <row r="908" spans="1:1" ht="12.75" x14ac:dyDescent="0.2">
      <c r="A908" s="2"/>
    </row>
    <row r="909" spans="1:1" ht="12.75" x14ac:dyDescent="0.2">
      <c r="A909" s="2"/>
    </row>
    <row r="910" spans="1:1" ht="12.75" x14ac:dyDescent="0.2">
      <c r="A910" s="2"/>
    </row>
    <row r="911" spans="1:1" ht="12.75" x14ac:dyDescent="0.2">
      <c r="A911" s="2"/>
    </row>
    <row r="912" spans="1:1" ht="12.75" x14ac:dyDescent="0.2">
      <c r="A912" s="2"/>
    </row>
    <row r="913" spans="1:1" ht="12.75" x14ac:dyDescent="0.2">
      <c r="A913" s="2"/>
    </row>
    <row r="914" spans="1:1" ht="12.75" x14ac:dyDescent="0.2">
      <c r="A914" s="2"/>
    </row>
    <row r="915" spans="1:1" ht="12.75" x14ac:dyDescent="0.2">
      <c r="A915" s="2"/>
    </row>
    <row r="916" spans="1:1" ht="12.75" x14ac:dyDescent="0.2">
      <c r="A916" s="2"/>
    </row>
    <row r="917" spans="1:1" ht="12.75" x14ac:dyDescent="0.2">
      <c r="A917" s="2"/>
    </row>
    <row r="918" spans="1:1" ht="12.75" x14ac:dyDescent="0.2">
      <c r="A918" s="2"/>
    </row>
    <row r="919" spans="1:1" ht="12.75" x14ac:dyDescent="0.2">
      <c r="A919" s="2"/>
    </row>
    <row r="920" spans="1:1" ht="12.75" x14ac:dyDescent="0.2">
      <c r="A920" s="2"/>
    </row>
    <row r="921" spans="1:1" ht="12.75" x14ac:dyDescent="0.2">
      <c r="A921" s="2"/>
    </row>
    <row r="922" spans="1:1" ht="12.75" x14ac:dyDescent="0.2">
      <c r="A922" s="2"/>
    </row>
    <row r="923" spans="1:1" ht="12.75" x14ac:dyDescent="0.2">
      <c r="A923" s="2"/>
    </row>
    <row r="924" spans="1:1" ht="12.75" x14ac:dyDescent="0.2">
      <c r="A924" s="2"/>
    </row>
    <row r="925" spans="1:1" ht="12.75" x14ac:dyDescent="0.2">
      <c r="A925" s="2"/>
    </row>
    <row r="926" spans="1:1" ht="12.75" x14ac:dyDescent="0.2">
      <c r="A926" s="2"/>
    </row>
    <row r="927" spans="1:1" ht="12.75" x14ac:dyDescent="0.2">
      <c r="A927" s="2"/>
    </row>
    <row r="928" spans="1:1" ht="12.75" x14ac:dyDescent="0.2">
      <c r="A928" s="2"/>
    </row>
    <row r="929" spans="1:1" ht="12.75" x14ac:dyDescent="0.2">
      <c r="A929" s="2"/>
    </row>
    <row r="930" spans="1:1" ht="12.75" x14ac:dyDescent="0.2">
      <c r="A930" s="2"/>
    </row>
    <row r="931" spans="1:1" ht="12.75" x14ac:dyDescent="0.2">
      <c r="A931" s="2"/>
    </row>
    <row r="932" spans="1:1" ht="12.75" x14ac:dyDescent="0.2">
      <c r="A932" s="2"/>
    </row>
    <row r="933" spans="1:1" ht="12.75" x14ac:dyDescent="0.2">
      <c r="A933" s="2"/>
    </row>
    <row r="934" spans="1:1" ht="12.75" x14ac:dyDescent="0.2">
      <c r="A934" s="2"/>
    </row>
    <row r="935" spans="1:1" ht="12.75" x14ac:dyDescent="0.2">
      <c r="A935" s="2"/>
    </row>
    <row r="936" spans="1:1" ht="12.75" x14ac:dyDescent="0.2">
      <c r="A936" s="2"/>
    </row>
    <row r="937" spans="1:1" ht="12.75" x14ac:dyDescent="0.2">
      <c r="A937" s="2"/>
    </row>
    <row r="938" spans="1:1" ht="12.75" x14ac:dyDescent="0.2">
      <c r="A938" s="2"/>
    </row>
    <row r="939" spans="1:1" ht="12.75" x14ac:dyDescent="0.2">
      <c r="A939" s="2"/>
    </row>
    <row r="940" spans="1:1" ht="12.75" x14ac:dyDescent="0.2">
      <c r="A940" s="2"/>
    </row>
    <row r="941" spans="1:1" ht="12.75" x14ac:dyDescent="0.2">
      <c r="A941" s="2"/>
    </row>
    <row r="942" spans="1:1" ht="12.75" x14ac:dyDescent="0.2">
      <c r="A942" s="2"/>
    </row>
    <row r="943" spans="1:1" ht="12.75" x14ac:dyDescent="0.2">
      <c r="A943" s="2"/>
    </row>
    <row r="944" spans="1:1" ht="12.75" x14ac:dyDescent="0.2">
      <c r="A944" s="2"/>
    </row>
    <row r="945" spans="1:1" ht="12.75" x14ac:dyDescent="0.2">
      <c r="A945" s="2"/>
    </row>
    <row r="946" spans="1:1" ht="12.75" x14ac:dyDescent="0.2">
      <c r="A946" s="2"/>
    </row>
    <row r="947" spans="1:1" ht="12.75" x14ac:dyDescent="0.2">
      <c r="A947" s="2"/>
    </row>
    <row r="948" spans="1:1" ht="12.75" x14ac:dyDescent="0.2">
      <c r="A948" s="2"/>
    </row>
    <row r="949" spans="1:1" ht="12.75" x14ac:dyDescent="0.2">
      <c r="A949" s="2"/>
    </row>
    <row r="950" spans="1:1" ht="12.75" x14ac:dyDescent="0.2">
      <c r="A950" s="2"/>
    </row>
    <row r="951" spans="1:1" ht="12.75" x14ac:dyDescent="0.2">
      <c r="A951" s="2"/>
    </row>
    <row r="952" spans="1:1" ht="12.75" x14ac:dyDescent="0.2">
      <c r="A952" s="2"/>
    </row>
    <row r="953" spans="1:1" ht="12.75" x14ac:dyDescent="0.2">
      <c r="A953" s="2"/>
    </row>
    <row r="954" spans="1:1" ht="12.75" x14ac:dyDescent="0.2">
      <c r="A954" s="2"/>
    </row>
    <row r="955" spans="1:1" ht="12.75" x14ac:dyDescent="0.2">
      <c r="A955" s="2"/>
    </row>
    <row r="956" spans="1:1" ht="12.75" x14ac:dyDescent="0.2">
      <c r="A956" s="2"/>
    </row>
    <row r="957" spans="1:1" ht="12.75" x14ac:dyDescent="0.2">
      <c r="A957" s="2"/>
    </row>
    <row r="958" spans="1:1" ht="12.75" x14ac:dyDescent="0.2">
      <c r="A958" s="2"/>
    </row>
    <row r="959" spans="1:1" ht="12.75" x14ac:dyDescent="0.2">
      <c r="A959" s="2"/>
    </row>
    <row r="960" spans="1:1" ht="12.75" x14ac:dyDescent="0.2">
      <c r="A960" s="2"/>
    </row>
    <row r="961" spans="1:1" ht="12.75" x14ac:dyDescent="0.2">
      <c r="A961" s="2"/>
    </row>
    <row r="962" spans="1:1" ht="12.75" x14ac:dyDescent="0.2">
      <c r="A962" s="2"/>
    </row>
    <row r="963" spans="1:1" ht="12.75" x14ac:dyDescent="0.2">
      <c r="A963" s="2"/>
    </row>
    <row r="964" spans="1:1" ht="12.75" x14ac:dyDescent="0.2">
      <c r="A964" s="2"/>
    </row>
    <row r="965" spans="1:1" ht="12.75" x14ac:dyDescent="0.2">
      <c r="A965" s="2"/>
    </row>
    <row r="966" spans="1:1" ht="12.75" x14ac:dyDescent="0.2">
      <c r="A966" s="2"/>
    </row>
    <row r="967" spans="1:1" ht="12.75" x14ac:dyDescent="0.2">
      <c r="A967" s="2"/>
    </row>
    <row r="968" spans="1:1" ht="12.75" x14ac:dyDescent="0.2">
      <c r="A968" s="2"/>
    </row>
    <row r="969" spans="1:1" ht="12.75" x14ac:dyDescent="0.2">
      <c r="A969" s="2"/>
    </row>
    <row r="970" spans="1:1" ht="12.75" x14ac:dyDescent="0.2">
      <c r="A970" s="2"/>
    </row>
    <row r="971" spans="1:1" ht="12.75" x14ac:dyDescent="0.2">
      <c r="A971" s="2"/>
    </row>
    <row r="972" spans="1:1" ht="12.75" x14ac:dyDescent="0.2">
      <c r="A972" s="2"/>
    </row>
    <row r="973" spans="1:1" ht="12.75" x14ac:dyDescent="0.2">
      <c r="A973" s="2"/>
    </row>
    <row r="974" spans="1:1" ht="12.75" x14ac:dyDescent="0.2">
      <c r="A974" s="2"/>
    </row>
    <row r="975" spans="1:1" ht="12.75" x14ac:dyDescent="0.2">
      <c r="A975" s="2"/>
    </row>
    <row r="976" spans="1:1" ht="12.75" x14ac:dyDescent="0.2">
      <c r="A976" s="2"/>
    </row>
    <row r="977" spans="1:1" ht="12.75" x14ac:dyDescent="0.2">
      <c r="A977" s="2"/>
    </row>
    <row r="978" spans="1:1" ht="12.75" x14ac:dyDescent="0.2">
      <c r="A978" s="2"/>
    </row>
    <row r="979" spans="1:1" ht="12.75" x14ac:dyDescent="0.2">
      <c r="A979" s="2"/>
    </row>
    <row r="980" spans="1:1" ht="12.75" x14ac:dyDescent="0.2">
      <c r="A980" s="2"/>
    </row>
    <row r="981" spans="1:1" ht="12.75" x14ac:dyDescent="0.2">
      <c r="A981" s="2"/>
    </row>
    <row r="982" spans="1:1" ht="12.75" x14ac:dyDescent="0.2">
      <c r="A982" s="2"/>
    </row>
    <row r="983" spans="1:1" ht="12.75" x14ac:dyDescent="0.2">
      <c r="A983" s="2"/>
    </row>
    <row r="984" spans="1:1" ht="12.75" x14ac:dyDescent="0.2">
      <c r="A984" s="2"/>
    </row>
    <row r="985" spans="1:1" ht="12.75" x14ac:dyDescent="0.2">
      <c r="A985" s="2"/>
    </row>
    <row r="986" spans="1:1" ht="12.75" x14ac:dyDescent="0.2">
      <c r="A986" s="2"/>
    </row>
    <row r="987" spans="1:1" ht="12.75" x14ac:dyDescent="0.2">
      <c r="A987" s="2"/>
    </row>
    <row r="988" spans="1:1" ht="12.75" x14ac:dyDescent="0.2">
      <c r="A988" s="2"/>
    </row>
    <row r="989" spans="1:1" ht="12.75" x14ac:dyDescent="0.2">
      <c r="A989" s="2"/>
    </row>
    <row r="990" spans="1:1" ht="12.75" x14ac:dyDescent="0.2">
      <c r="A990" s="2"/>
    </row>
    <row r="991" spans="1:1" ht="12.75" x14ac:dyDescent="0.2">
      <c r="A991" s="2"/>
    </row>
    <row r="992" spans="1:1" ht="12.75" x14ac:dyDescent="0.2">
      <c r="A992" s="2"/>
    </row>
    <row r="993" spans="1:1" ht="12.75" x14ac:dyDescent="0.2">
      <c r="A993" s="2"/>
    </row>
    <row r="994" spans="1:1" ht="12.75" x14ac:dyDescent="0.2">
      <c r="A994" s="2"/>
    </row>
    <row r="995" spans="1:1" ht="12.75" x14ac:dyDescent="0.2">
      <c r="A995" s="2"/>
    </row>
    <row r="996" spans="1:1" ht="12.75" x14ac:dyDescent="0.2">
      <c r="A996" s="2"/>
    </row>
    <row r="997" spans="1:1" ht="12.75" x14ac:dyDescent="0.2">
      <c r="A997" s="2"/>
    </row>
    <row r="998" spans="1:1" ht="12.75" x14ac:dyDescent="0.2">
      <c r="A998" s="2"/>
    </row>
    <row r="999" spans="1:1" ht="12.75" x14ac:dyDescent="0.2">
      <c r="A999" s="2"/>
    </row>
    <row r="1000" spans="1:1" ht="12.75" x14ac:dyDescent="0.2">
      <c r="A1000" s="2"/>
    </row>
    <row r="1001" spans="1:1" ht="12.75" x14ac:dyDescent="0.2">
      <c r="A1001" s="2"/>
    </row>
    <row r="1002" spans="1:1" ht="12.75" x14ac:dyDescent="0.2">
      <c r="A1002" s="2"/>
    </row>
    <row r="1003" spans="1:1" ht="12.75" x14ac:dyDescent="0.2">
      <c r="A1003" s="2"/>
    </row>
    <row r="1004" spans="1:1" ht="12.75" x14ac:dyDescent="0.2">
      <c r="A1004" s="2"/>
    </row>
    <row r="1005" spans="1:1" ht="12.75" x14ac:dyDescent="0.2">
      <c r="A1005" s="2"/>
    </row>
    <row r="1006" spans="1:1" ht="12.75" x14ac:dyDescent="0.2">
      <c r="A1006" s="2"/>
    </row>
    <row r="1007" spans="1:1" ht="12.75" x14ac:dyDescent="0.2">
      <c r="A1007" s="2"/>
    </row>
    <row r="1008" spans="1:1" ht="12.75" x14ac:dyDescent="0.2">
      <c r="A100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225"/>
  <sheetViews>
    <sheetView tabSelected="1" workbookViewId="0">
      <selection activeCell="I44" sqref="I44"/>
    </sheetView>
  </sheetViews>
  <sheetFormatPr defaultColWidth="12.7109375" defaultRowHeight="15.75" customHeight="1" x14ac:dyDescent="0.2"/>
  <sheetData>
    <row r="1" spans="1:4" ht="15.75" customHeight="1" x14ac:dyDescent="0.2">
      <c r="A1" s="5" t="s">
        <v>82</v>
      </c>
      <c r="B1" s="5" t="s">
        <v>83</v>
      </c>
      <c r="C1" s="3" t="s">
        <v>21</v>
      </c>
      <c r="D1" s="3" t="s">
        <v>84</v>
      </c>
    </row>
    <row r="2" spans="1:4" ht="15.75" customHeight="1" x14ac:dyDescent="0.2">
      <c r="A2" s="11">
        <v>24838</v>
      </c>
      <c r="B2" s="6">
        <v>23900</v>
      </c>
      <c r="C2" s="3">
        <v>1968</v>
      </c>
      <c r="D2" s="3">
        <f>AVERAGE(B2:B5)</f>
        <v>24800</v>
      </c>
    </row>
    <row r="3" spans="1:4" ht="15.75" customHeight="1" x14ac:dyDescent="0.2">
      <c r="A3" s="11">
        <v>24929</v>
      </c>
      <c r="B3" s="6">
        <v>24900</v>
      </c>
      <c r="C3" s="3">
        <v>1969</v>
      </c>
      <c r="D3" s="3">
        <f>AVERAGE(B6:B9)</f>
        <v>25600</v>
      </c>
    </row>
    <row r="4" spans="1:4" ht="15.75" customHeight="1" x14ac:dyDescent="0.2">
      <c r="A4" s="11">
        <v>25020</v>
      </c>
      <c r="B4" s="6">
        <v>24800</v>
      </c>
      <c r="C4" s="3">
        <v>1970</v>
      </c>
      <c r="D4" s="3">
        <f>AVERAGE(B10:B13)</f>
        <v>23475</v>
      </c>
    </row>
    <row r="5" spans="1:4" ht="15.75" customHeight="1" x14ac:dyDescent="0.2">
      <c r="A5" s="11">
        <v>25112</v>
      </c>
      <c r="B5" s="6">
        <v>25600</v>
      </c>
      <c r="C5" s="3">
        <v>1971</v>
      </c>
      <c r="D5" s="3">
        <f>AVERAGE(B14:B17)</f>
        <v>25225</v>
      </c>
    </row>
    <row r="6" spans="1:4" ht="15.75" customHeight="1" x14ac:dyDescent="0.2">
      <c r="A6" s="11">
        <v>25204</v>
      </c>
      <c r="B6" s="6">
        <v>25700</v>
      </c>
      <c r="C6" s="3">
        <v>1972</v>
      </c>
      <c r="D6" s="3">
        <f>AVERAGE(B18:B21)</f>
        <v>27525</v>
      </c>
    </row>
    <row r="7" spans="1:4" ht="15.75" customHeight="1" x14ac:dyDescent="0.2">
      <c r="A7" s="11">
        <v>25294</v>
      </c>
      <c r="B7" s="6">
        <v>25900</v>
      </c>
      <c r="C7" s="3">
        <v>1973</v>
      </c>
      <c r="D7" s="3">
        <f>AVERAGE(B22:B25)</f>
        <v>32600</v>
      </c>
    </row>
    <row r="8" spans="1:4" ht="15.75" customHeight="1" x14ac:dyDescent="0.2">
      <c r="A8" s="11">
        <v>25385</v>
      </c>
      <c r="B8" s="6">
        <v>25900</v>
      </c>
      <c r="C8" s="3">
        <v>1974</v>
      </c>
      <c r="D8" s="3">
        <f>AVERAGE(B26:B29)</f>
        <v>36050</v>
      </c>
    </row>
    <row r="9" spans="1:4" ht="15.75" customHeight="1" x14ac:dyDescent="0.2">
      <c r="A9" s="11">
        <v>25477</v>
      </c>
      <c r="B9" s="6">
        <v>24900</v>
      </c>
      <c r="C9" s="3">
        <v>1975</v>
      </c>
      <c r="D9" s="3">
        <f>AVERAGE(B30:B33)</f>
        <v>39275</v>
      </c>
    </row>
    <row r="10" spans="1:4" ht="15.75" customHeight="1" x14ac:dyDescent="0.2">
      <c r="A10" s="11">
        <v>25569</v>
      </c>
      <c r="B10" s="6">
        <v>23900</v>
      </c>
      <c r="C10" s="3">
        <v>1976</v>
      </c>
      <c r="D10" s="3">
        <f>AVERAGE(B34:B37)</f>
        <v>44225</v>
      </c>
    </row>
    <row r="11" spans="1:4" ht="15.75" customHeight="1" x14ac:dyDescent="0.2">
      <c r="A11" s="11">
        <v>25659</v>
      </c>
      <c r="B11" s="6">
        <v>24400</v>
      </c>
      <c r="C11" s="3">
        <v>1977</v>
      </c>
      <c r="D11" s="3">
        <f>AVERAGE(B38:B41)</f>
        <v>48900</v>
      </c>
    </row>
    <row r="12" spans="1:4" ht="15.75" customHeight="1" x14ac:dyDescent="0.2">
      <c r="A12" s="11">
        <v>25750</v>
      </c>
      <c r="B12" s="6">
        <v>23000</v>
      </c>
      <c r="C12" s="3">
        <v>1978</v>
      </c>
      <c r="D12" s="3">
        <f>AVERAGE(B42:B45)</f>
        <v>55850</v>
      </c>
    </row>
    <row r="13" spans="1:4" ht="15.75" customHeight="1" x14ac:dyDescent="0.2">
      <c r="A13" s="11">
        <v>25842</v>
      </c>
      <c r="B13" s="6">
        <v>22600</v>
      </c>
      <c r="C13" s="3">
        <v>1979</v>
      </c>
      <c r="D13" s="3">
        <f>AVERAGE(B46:B49)</f>
        <v>62750</v>
      </c>
    </row>
    <row r="14" spans="1:4" ht="15.75" customHeight="1" x14ac:dyDescent="0.2">
      <c r="A14" s="11">
        <v>25934</v>
      </c>
      <c r="B14" s="6">
        <v>24300</v>
      </c>
      <c r="C14" s="3">
        <v>1980</v>
      </c>
      <c r="D14" s="3">
        <f>AVERAGE(B50:B53)</f>
        <v>64750</v>
      </c>
    </row>
    <row r="15" spans="1:4" ht="15.75" customHeight="1" x14ac:dyDescent="0.2">
      <c r="A15" s="11">
        <v>26024</v>
      </c>
      <c r="B15" s="6">
        <v>25800</v>
      </c>
      <c r="C15" s="3">
        <v>1981</v>
      </c>
      <c r="D15" s="3">
        <f>AVERAGE(B54:B57)</f>
        <v>68950</v>
      </c>
    </row>
    <row r="16" spans="1:4" ht="15.75" customHeight="1" x14ac:dyDescent="0.2">
      <c r="A16" s="11">
        <v>26115</v>
      </c>
      <c r="B16" s="6">
        <v>25300</v>
      </c>
      <c r="C16" s="3">
        <v>1982</v>
      </c>
      <c r="D16" s="3">
        <f>AVERAGE(B58:B61)</f>
        <v>69225</v>
      </c>
    </row>
    <row r="17" spans="1:4" ht="15.75" customHeight="1" x14ac:dyDescent="0.2">
      <c r="A17" s="11">
        <v>26207</v>
      </c>
      <c r="B17" s="6">
        <v>25500</v>
      </c>
      <c r="C17" s="3">
        <v>1983</v>
      </c>
      <c r="D17" s="3">
        <f>AVERAGE(B62:B65)</f>
        <v>75375</v>
      </c>
    </row>
    <row r="18" spans="1:4" ht="15.75" customHeight="1" x14ac:dyDescent="0.2">
      <c r="A18" s="11">
        <v>26299</v>
      </c>
      <c r="B18" s="6">
        <v>26200</v>
      </c>
      <c r="C18" s="3">
        <v>1984</v>
      </c>
      <c r="D18" s="3">
        <f>AVERAGE(B66:B69)</f>
        <v>79950</v>
      </c>
    </row>
    <row r="19" spans="1:4" ht="15.75" customHeight="1" x14ac:dyDescent="0.2">
      <c r="A19" s="11">
        <v>26390</v>
      </c>
      <c r="B19" s="6">
        <v>26800</v>
      </c>
      <c r="C19" s="3">
        <v>1985</v>
      </c>
      <c r="D19" s="3">
        <f>AVERAGE(B70:B73)</f>
        <v>84275</v>
      </c>
    </row>
    <row r="20" spans="1:4" ht="15.75" customHeight="1" x14ac:dyDescent="0.2">
      <c r="A20" s="11">
        <v>26481</v>
      </c>
      <c r="B20" s="6">
        <v>27900</v>
      </c>
      <c r="C20" s="3">
        <v>1986</v>
      </c>
      <c r="D20" s="3">
        <f>AVERAGE(B74:B77)</f>
        <v>92025</v>
      </c>
    </row>
    <row r="21" spans="1:4" ht="15.75" customHeight="1" x14ac:dyDescent="0.2">
      <c r="A21" s="11">
        <v>26573</v>
      </c>
      <c r="B21" s="6">
        <v>29200</v>
      </c>
      <c r="C21" s="3">
        <v>1987</v>
      </c>
      <c r="D21" s="3">
        <f>AVERAGE(B78:B81)</f>
        <v>104700</v>
      </c>
    </row>
    <row r="22" spans="1:4" ht="15.75" customHeight="1" x14ac:dyDescent="0.2">
      <c r="A22" s="11">
        <v>26665</v>
      </c>
      <c r="B22" s="6">
        <v>30200</v>
      </c>
      <c r="C22" s="3">
        <v>1988</v>
      </c>
      <c r="D22" s="3">
        <f>AVERAGE(B82:B85)</f>
        <v>112225</v>
      </c>
    </row>
    <row r="23" spans="1:4" ht="15.75" customHeight="1" x14ac:dyDescent="0.2">
      <c r="A23" s="11">
        <v>26755</v>
      </c>
      <c r="B23" s="6">
        <v>32700</v>
      </c>
      <c r="C23" s="3">
        <v>1989</v>
      </c>
      <c r="D23" s="3">
        <f>AVERAGE(B86:B89)</f>
        <v>120425</v>
      </c>
    </row>
    <row r="24" spans="1:4" ht="15.75" customHeight="1" x14ac:dyDescent="0.2">
      <c r="A24" s="11">
        <v>26846</v>
      </c>
      <c r="B24" s="6">
        <v>33500</v>
      </c>
      <c r="C24" s="3">
        <v>1990</v>
      </c>
      <c r="D24" s="3">
        <f>AVERAGE(B90:B93)</f>
        <v>122300</v>
      </c>
    </row>
    <row r="25" spans="1:4" ht="15.75" customHeight="1" x14ac:dyDescent="0.2">
      <c r="A25" s="11">
        <v>26938</v>
      </c>
      <c r="B25" s="6">
        <v>34000</v>
      </c>
      <c r="C25" s="3">
        <v>1991</v>
      </c>
      <c r="D25" s="3">
        <f>AVERAGE(B94:B97)</f>
        <v>119975</v>
      </c>
    </row>
    <row r="26" spans="1:4" ht="15.75" customHeight="1" x14ac:dyDescent="0.2">
      <c r="A26" s="11">
        <v>27030</v>
      </c>
      <c r="B26" s="6">
        <v>35200</v>
      </c>
      <c r="C26" s="3">
        <v>1992</v>
      </c>
      <c r="D26" s="3">
        <f>AVERAGE(B98:B101)</f>
        <v>121375</v>
      </c>
    </row>
    <row r="27" spans="1:4" ht="15.75" customHeight="1" x14ac:dyDescent="0.2">
      <c r="A27" s="11">
        <v>27120</v>
      </c>
      <c r="B27" s="6">
        <v>35600</v>
      </c>
      <c r="C27" s="3">
        <v>1993</v>
      </c>
      <c r="D27" s="3">
        <f>AVERAGE(B102:B105)</f>
        <v>126500</v>
      </c>
    </row>
    <row r="28" spans="1:4" ht="15.75" customHeight="1" x14ac:dyDescent="0.2">
      <c r="A28" s="11">
        <v>27211</v>
      </c>
      <c r="B28" s="6">
        <v>36200</v>
      </c>
      <c r="C28" s="3">
        <v>1994</v>
      </c>
      <c r="D28" s="3">
        <f>AVERAGE(B106:B109)</f>
        <v>130425</v>
      </c>
    </row>
    <row r="29" spans="1:4" ht="15.75" customHeight="1" x14ac:dyDescent="0.2">
      <c r="A29" s="11">
        <v>27303</v>
      </c>
      <c r="B29" s="6">
        <v>37200</v>
      </c>
      <c r="C29" s="3">
        <v>1995</v>
      </c>
      <c r="D29" s="3">
        <f>AVERAGE(B110:B113)</f>
        <v>133475</v>
      </c>
    </row>
    <row r="30" spans="1:4" ht="15.75" customHeight="1" x14ac:dyDescent="0.2">
      <c r="A30" s="11">
        <v>27395</v>
      </c>
      <c r="B30" s="6">
        <v>38100</v>
      </c>
      <c r="C30" s="3">
        <v>1996</v>
      </c>
      <c r="D30" s="3">
        <f>AVERAGE(B114:B117)</f>
        <v>140250</v>
      </c>
    </row>
    <row r="31" spans="1:4" ht="15.75" customHeight="1" x14ac:dyDescent="0.2">
      <c r="A31" s="11">
        <v>27485</v>
      </c>
      <c r="B31" s="6">
        <v>39000</v>
      </c>
      <c r="C31" s="3">
        <v>1997</v>
      </c>
      <c r="D31" s="3">
        <f>AVERAGE(B118:B121)</f>
        <v>145000</v>
      </c>
    </row>
    <row r="32" spans="1:4" ht="15.75" customHeight="1" x14ac:dyDescent="0.2">
      <c r="A32" s="11">
        <v>27576</v>
      </c>
      <c r="B32" s="6">
        <v>38800</v>
      </c>
      <c r="C32" s="3">
        <v>1998</v>
      </c>
      <c r="D32" s="3">
        <f>AVERAGE(B122:B125)</f>
        <v>151925</v>
      </c>
    </row>
    <row r="33" spans="1:4" ht="15.75" customHeight="1" x14ac:dyDescent="0.2">
      <c r="A33" s="11">
        <v>27668</v>
      </c>
      <c r="B33" s="6">
        <v>41200</v>
      </c>
      <c r="C33" s="3">
        <v>1999</v>
      </c>
      <c r="D33" s="3">
        <f>AVERAGE(B126:B129)</f>
        <v>160125</v>
      </c>
    </row>
    <row r="34" spans="1:4" ht="15.75" customHeight="1" x14ac:dyDescent="0.2">
      <c r="A34" s="11">
        <v>27760</v>
      </c>
      <c r="B34" s="6">
        <v>42800</v>
      </c>
      <c r="C34" s="3">
        <v>2000</v>
      </c>
      <c r="D34" s="3">
        <f>AVERAGE(B130:B133)</f>
        <v>167550</v>
      </c>
    </row>
    <row r="35" spans="1:4" ht="15.75" customHeight="1" x14ac:dyDescent="0.2">
      <c r="A35" s="11">
        <v>27851</v>
      </c>
      <c r="B35" s="6">
        <v>44200</v>
      </c>
      <c r="C35" s="3">
        <v>2001</v>
      </c>
      <c r="D35" s="3">
        <f>AVERAGE(B134:B137)</f>
        <v>173100</v>
      </c>
    </row>
    <row r="36" spans="1:4" ht="15.75" customHeight="1" x14ac:dyDescent="0.2">
      <c r="A36" s="11">
        <v>27942</v>
      </c>
      <c r="B36" s="6">
        <v>44400</v>
      </c>
      <c r="C36" s="3">
        <v>2002</v>
      </c>
      <c r="D36" s="3">
        <f>AVERAGE(B138:B141)</f>
        <v>186025</v>
      </c>
    </row>
    <row r="37" spans="1:4" ht="15.75" customHeight="1" x14ac:dyDescent="0.2">
      <c r="A37" s="11">
        <v>28034</v>
      </c>
      <c r="B37" s="6">
        <v>45500</v>
      </c>
      <c r="C37" s="3">
        <v>2003</v>
      </c>
      <c r="D37" s="3">
        <f>AVERAGE(B142:B145)</f>
        <v>192125</v>
      </c>
    </row>
    <row r="38" spans="1:4" ht="15.75" customHeight="1" x14ac:dyDescent="0.2">
      <c r="A38" s="11">
        <v>28126</v>
      </c>
      <c r="B38" s="6">
        <v>46300</v>
      </c>
      <c r="C38" s="3">
        <v>2004</v>
      </c>
      <c r="D38" s="3">
        <f>AVERAGE(B146:B149)</f>
        <v>218150</v>
      </c>
    </row>
    <row r="39" spans="1:4" ht="15.75" customHeight="1" x14ac:dyDescent="0.2">
      <c r="A39" s="11">
        <v>28216</v>
      </c>
      <c r="B39" s="6">
        <v>48900</v>
      </c>
      <c r="C39" s="3">
        <v>2005</v>
      </c>
      <c r="D39" s="3">
        <f>AVERAGE(B150:B153)</f>
        <v>236550</v>
      </c>
    </row>
    <row r="40" spans="1:4" ht="15.75" customHeight="1" x14ac:dyDescent="0.2">
      <c r="A40" s="11">
        <v>28307</v>
      </c>
      <c r="B40" s="6">
        <v>48800</v>
      </c>
      <c r="C40" s="3">
        <v>2006</v>
      </c>
      <c r="D40" s="3">
        <f>AVERAGE(B154:B157)</f>
        <v>243750</v>
      </c>
    </row>
    <row r="41" spans="1:4" ht="15.75" customHeight="1" x14ac:dyDescent="0.2">
      <c r="A41" s="11">
        <v>28399</v>
      </c>
      <c r="B41" s="6">
        <v>51600</v>
      </c>
      <c r="C41" s="3">
        <v>2007</v>
      </c>
      <c r="D41" s="3">
        <f>AVERAGE(B158:B161)</f>
        <v>244950</v>
      </c>
    </row>
    <row r="42" spans="1:4" ht="15.75" customHeight="1" x14ac:dyDescent="0.2">
      <c r="A42" s="11">
        <v>28491</v>
      </c>
      <c r="B42" s="6">
        <v>53000</v>
      </c>
      <c r="C42" s="3">
        <v>2008</v>
      </c>
      <c r="D42" s="3">
        <f>AVERAGE(B162:B165)</f>
        <v>229550</v>
      </c>
    </row>
    <row r="43" spans="1:4" ht="15.75" customHeight="1" x14ac:dyDescent="0.2">
      <c r="A43" s="11">
        <v>28581</v>
      </c>
      <c r="B43" s="6">
        <v>55300</v>
      </c>
      <c r="C43" s="3">
        <v>2009</v>
      </c>
      <c r="D43" s="3">
        <f>AVERAGE(B166:B169)</f>
        <v>215650</v>
      </c>
    </row>
    <row r="44" spans="1:4" ht="15.75" customHeight="1" x14ac:dyDescent="0.2">
      <c r="A44" s="11">
        <v>28672</v>
      </c>
      <c r="B44" s="6">
        <v>56100</v>
      </c>
      <c r="C44" s="3">
        <v>2010</v>
      </c>
      <c r="D44" s="3">
        <f>AVERAGE(B170:B173)</f>
        <v>222700</v>
      </c>
    </row>
    <row r="45" spans="1:4" ht="15.75" customHeight="1" x14ac:dyDescent="0.2">
      <c r="A45" s="11">
        <v>28764</v>
      </c>
      <c r="B45" s="6">
        <v>59000</v>
      </c>
      <c r="C45" s="3">
        <v>2011</v>
      </c>
      <c r="D45" s="3">
        <f>AVERAGE(B174:B177)</f>
        <v>224900</v>
      </c>
    </row>
    <row r="46" spans="1:4" ht="15.75" customHeight="1" x14ac:dyDescent="0.2">
      <c r="A46" s="11">
        <v>28856</v>
      </c>
      <c r="B46" s="6">
        <v>60600</v>
      </c>
      <c r="C46" s="3">
        <v>2012</v>
      </c>
      <c r="D46" s="3">
        <f>AVERAGE(B178:B181)</f>
        <v>244400</v>
      </c>
    </row>
    <row r="47" spans="1:4" ht="15.75" customHeight="1" x14ac:dyDescent="0.2">
      <c r="A47" s="11">
        <v>28946</v>
      </c>
      <c r="B47" s="6">
        <v>63100</v>
      </c>
      <c r="C47" s="3">
        <v>2013</v>
      </c>
      <c r="D47" s="3">
        <f>AVERAGE(B182:B185)</f>
        <v>266225</v>
      </c>
    </row>
    <row r="48" spans="1:4" ht="15.75" customHeight="1" x14ac:dyDescent="0.2">
      <c r="A48" s="11">
        <v>29037</v>
      </c>
      <c r="B48" s="6">
        <v>64700</v>
      </c>
      <c r="C48" s="3">
        <v>2014</v>
      </c>
      <c r="D48" s="3">
        <f>AVERAGE(B186:B189)</f>
        <v>285775</v>
      </c>
    </row>
    <row r="49" spans="1:4" ht="15.75" customHeight="1" x14ac:dyDescent="0.2">
      <c r="A49" s="11">
        <v>29129</v>
      </c>
      <c r="B49" s="6">
        <v>62600</v>
      </c>
      <c r="C49" s="3">
        <v>2015</v>
      </c>
      <c r="D49" s="3">
        <f>AVERAGE(B190:B193)</f>
        <v>294150</v>
      </c>
    </row>
    <row r="50" spans="1:4" ht="15.75" customHeight="1" x14ac:dyDescent="0.2">
      <c r="A50" s="11">
        <v>29221</v>
      </c>
      <c r="B50" s="6">
        <v>63700</v>
      </c>
      <c r="C50" s="3">
        <v>2016</v>
      </c>
      <c r="D50" s="3">
        <f>AVERAGE(B194:B197)</f>
        <v>305125</v>
      </c>
    </row>
    <row r="51" spans="1:4" ht="15.75" customHeight="1" x14ac:dyDescent="0.2">
      <c r="A51" s="11">
        <v>29312</v>
      </c>
      <c r="B51" s="6">
        <v>64000</v>
      </c>
      <c r="C51" s="3">
        <v>2017</v>
      </c>
      <c r="D51" s="3">
        <f>AVERAGE(B198:B201)</f>
        <v>322425</v>
      </c>
    </row>
    <row r="52" spans="1:4" ht="15.75" customHeight="1" x14ac:dyDescent="0.2">
      <c r="A52" s="11">
        <v>29403</v>
      </c>
      <c r="B52" s="6">
        <v>64900</v>
      </c>
      <c r="C52" s="3">
        <v>2018</v>
      </c>
      <c r="D52" s="3">
        <f>AVERAGE(B202:B205)</f>
        <v>325275</v>
      </c>
    </row>
    <row r="53" spans="1:4" ht="15.75" customHeight="1" x14ac:dyDescent="0.2">
      <c r="A53" s="11">
        <v>29495</v>
      </c>
      <c r="B53" s="6">
        <v>66400</v>
      </c>
      <c r="C53" s="3">
        <v>2019</v>
      </c>
      <c r="D53" s="3">
        <f>AVERAGE(B206:B209)</f>
        <v>320250</v>
      </c>
    </row>
    <row r="54" spans="1:4" ht="12.75" x14ac:dyDescent="0.2">
      <c r="A54" s="11">
        <v>29587</v>
      </c>
      <c r="B54" s="6">
        <v>66800</v>
      </c>
      <c r="C54" s="3">
        <v>2020</v>
      </c>
      <c r="D54" s="3">
        <f>AVERAGE(B210:B213)</f>
        <v>336950</v>
      </c>
    </row>
    <row r="55" spans="1:4" ht="12.75" x14ac:dyDescent="0.2">
      <c r="A55" s="11">
        <v>29677</v>
      </c>
      <c r="B55" s="6">
        <v>69400</v>
      </c>
      <c r="C55" s="3">
        <v>2021</v>
      </c>
      <c r="D55" s="3">
        <f>AVERAGE(B214:B217)</f>
        <v>396800</v>
      </c>
    </row>
    <row r="56" spans="1:4" ht="12.75" x14ac:dyDescent="0.2">
      <c r="A56" s="11">
        <v>29768</v>
      </c>
      <c r="B56" s="6">
        <v>69200</v>
      </c>
      <c r="C56" s="3">
        <v>2022</v>
      </c>
      <c r="D56" s="3">
        <f>AVERAGE(B218:B221)</f>
        <v>457475</v>
      </c>
    </row>
    <row r="57" spans="1:4" ht="12.75" x14ac:dyDescent="0.2">
      <c r="A57" s="11">
        <v>29860</v>
      </c>
      <c r="B57" s="6">
        <v>70400</v>
      </c>
      <c r="C57" s="3">
        <v>2023</v>
      </c>
      <c r="D57" s="3">
        <f>AVERAGE(B222:B225)</f>
        <v>425150</v>
      </c>
    </row>
    <row r="58" spans="1:4" ht="12.75" x14ac:dyDescent="0.2">
      <c r="A58" s="11">
        <v>29952</v>
      </c>
      <c r="B58" s="6">
        <v>66400</v>
      </c>
    </row>
    <row r="59" spans="1:4" ht="12.75" x14ac:dyDescent="0.2">
      <c r="A59" s="11">
        <v>30042</v>
      </c>
      <c r="B59" s="6">
        <v>69600</v>
      </c>
    </row>
    <row r="60" spans="1:4" ht="12.75" x14ac:dyDescent="0.2">
      <c r="A60" s="11">
        <v>30133</v>
      </c>
      <c r="B60" s="6">
        <v>69300</v>
      </c>
    </row>
    <row r="61" spans="1:4" ht="12.75" x14ac:dyDescent="0.2">
      <c r="A61" s="11">
        <v>30225</v>
      </c>
      <c r="B61" s="6">
        <v>71600</v>
      </c>
    </row>
    <row r="62" spans="1:4" ht="12.75" x14ac:dyDescent="0.2">
      <c r="A62" s="11">
        <v>30317</v>
      </c>
      <c r="B62" s="6">
        <v>73300</v>
      </c>
    </row>
    <row r="63" spans="1:4" ht="12.75" x14ac:dyDescent="0.2">
      <c r="A63" s="11">
        <v>30407</v>
      </c>
      <c r="B63" s="6">
        <v>74900</v>
      </c>
    </row>
    <row r="64" spans="1:4" ht="12.75" x14ac:dyDescent="0.2">
      <c r="A64" s="11">
        <v>30498</v>
      </c>
      <c r="B64" s="6">
        <v>77400</v>
      </c>
    </row>
    <row r="65" spans="1:2" ht="12.75" x14ac:dyDescent="0.2">
      <c r="A65" s="11">
        <v>30590</v>
      </c>
      <c r="B65" s="6">
        <v>75900</v>
      </c>
    </row>
    <row r="66" spans="1:2" ht="12.75" x14ac:dyDescent="0.2">
      <c r="A66" s="11">
        <v>30682</v>
      </c>
      <c r="B66" s="6">
        <v>78200</v>
      </c>
    </row>
    <row r="67" spans="1:2" ht="12.75" x14ac:dyDescent="0.2">
      <c r="A67" s="11">
        <v>30773</v>
      </c>
      <c r="B67" s="6">
        <v>80700</v>
      </c>
    </row>
    <row r="68" spans="1:2" ht="12.75" x14ac:dyDescent="0.2">
      <c r="A68" s="11">
        <v>30864</v>
      </c>
      <c r="B68" s="6">
        <v>81000</v>
      </c>
    </row>
    <row r="69" spans="1:2" ht="12.75" x14ac:dyDescent="0.2">
      <c r="A69" s="11">
        <v>30956</v>
      </c>
      <c r="B69" s="6">
        <v>79900</v>
      </c>
    </row>
    <row r="70" spans="1:2" ht="12.75" x14ac:dyDescent="0.2">
      <c r="A70" s="11">
        <v>31048</v>
      </c>
      <c r="B70" s="6">
        <v>82800</v>
      </c>
    </row>
    <row r="71" spans="1:2" ht="12.75" x14ac:dyDescent="0.2">
      <c r="A71" s="11">
        <v>31138</v>
      </c>
      <c r="B71" s="6">
        <v>84300</v>
      </c>
    </row>
    <row r="72" spans="1:2" ht="12.75" x14ac:dyDescent="0.2">
      <c r="A72" s="11">
        <v>31229</v>
      </c>
      <c r="B72" s="6">
        <v>83200</v>
      </c>
    </row>
    <row r="73" spans="1:2" ht="12.75" x14ac:dyDescent="0.2">
      <c r="A73" s="11">
        <v>31321</v>
      </c>
      <c r="B73" s="6">
        <v>86800</v>
      </c>
    </row>
    <row r="74" spans="1:2" ht="12.75" x14ac:dyDescent="0.2">
      <c r="A74" s="11">
        <v>31413</v>
      </c>
      <c r="B74" s="6">
        <v>88000</v>
      </c>
    </row>
    <row r="75" spans="1:2" ht="12.75" x14ac:dyDescent="0.2">
      <c r="A75" s="11">
        <v>31503</v>
      </c>
      <c r="B75" s="6">
        <v>92100</v>
      </c>
    </row>
    <row r="76" spans="1:2" ht="12.75" x14ac:dyDescent="0.2">
      <c r="A76" s="11">
        <v>31594</v>
      </c>
      <c r="B76" s="6">
        <v>93000</v>
      </c>
    </row>
    <row r="77" spans="1:2" ht="12.75" x14ac:dyDescent="0.2">
      <c r="A77" s="11">
        <v>31686</v>
      </c>
      <c r="B77" s="6">
        <v>95000</v>
      </c>
    </row>
    <row r="78" spans="1:2" ht="12.75" x14ac:dyDescent="0.2">
      <c r="A78" s="11">
        <v>31778</v>
      </c>
      <c r="B78" s="6">
        <v>97900</v>
      </c>
    </row>
    <row r="79" spans="1:2" ht="12.75" x14ac:dyDescent="0.2">
      <c r="A79" s="11">
        <v>31868</v>
      </c>
      <c r="B79" s="6">
        <v>103400</v>
      </c>
    </row>
    <row r="80" spans="1:2" ht="12.75" x14ac:dyDescent="0.2">
      <c r="A80" s="11">
        <v>31959</v>
      </c>
      <c r="B80" s="6">
        <v>106000</v>
      </c>
    </row>
    <row r="81" spans="1:2" ht="12.75" x14ac:dyDescent="0.2">
      <c r="A81" s="11">
        <v>32051</v>
      </c>
      <c r="B81" s="6">
        <v>111500</v>
      </c>
    </row>
    <row r="82" spans="1:2" ht="12.75" x14ac:dyDescent="0.2">
      <c r="A82" s="11">
        <v>32143</v>
      </c>
      <c r="B82" s="6">
        <v>110000</v>
      </c>
    </row>
    <row r="83" spans="1:2" ht="12.75" x14ac:dyDescent="0.2">
      <c r="A83" s="11">
        <v>32234</v>
      </c>
      <c r="B83" s="6">
        <v>110000</v>
      </c>
    </row>
    <row r="84" spans="1:2" ht="12.75" x14ac:dyDescent="0.2">
      <c r="A84" s="11">
        <v>32325</v>
      </c>
      <c r="B84" s="6">
        <v>115000</v>
      </c>
    </row>
    <row r="85" spans="1:2" ht="12.75" x14ac:dyDescent="0.2">
      <c r="A85" s="11">
        <v>32417</v>
      </c>
      <c r="B85" s="6">
        <v>113900</v>
      </c>
    </row>
    <row r="86" spans="1:2" ht="12.75" x14ac:dyDescent="0.2">
      <c r="A86" s="11">
        <v>32509</v>
      </c>
      <c r="B86" s="6">
        <v>118000</v>
      </c>
    </row>
    <row r="87" spans="1:2" ht="12.75" x14ac:dyDescent="0.2">
      <c r="A87" s="11">
        <v>32599</v>
      </c>
      <c r="B87" s="6">
        <v>118900</v>
      </c>
    </row>
    <row r="88" spans="1:2" ht="12.75" x14ac:dyDescent="0.2">
      <c r="A88" s="11">
        <v>32690</v>
      </c>
      <c r="B88" s="6">
        <v>120000</v>
      </c>
    </row>
    <row r="89" spans="1:2" ht="12.75" x14ac:dyDescent="0.2">
      <c r="A89" s="11">
        <v>32782</v>
      </c>
      <c r="B89" s="6">
        <v>124800</v>
      </c>
    </row>
    <row r="90" spans="1:2" ht="12.75" x14ac:dyDescent="0.2">
      <c r="A90" s="11">
        <v>32874</v>
      </c>
      <c r="B90" s="6">
        <v>123900</v>
      </c>
    </row>
    <row r="91" spans="1:2" ht="12.75" x14ac:dyDescent="0.2">
      <c r="A91" s="11">
        <v>32964</v>
      </c>
      <c r="B91" s="6">
        <v>126800</v>
      </c>
    </row>
    <row r="92" spans="1:2" ht="12.75" x14ac:dyDescent="0.2">
      <c r="A92" s="11">
        <v>33055</v>
      </c>
      <c r="B92" s="6">
        <v>117000</v>
      </c>
    </row>
    <row r="93" spans="1:2" ht="12.75" x14ac:dyDescent="0.2">
      <c r="A93" s="11">
        <v>33147</v>
      </c>
      <c r="B93" s="6">
        <v>121500</v>
      </c>
    </row>
    <row r="94" spans="1:2" ht="12.75" x14ac:dyDescent="0.2">
      <c r="A94" s="11">
        <v>33239</v>
      </c>
      <c r="B94" s="6">
        <v>120000</v>
      </c>
    </row>
    <row r="95" spans="1:2" ht="12.75" x14ac:dyDescent="0.2">
      <c r="A95" s="11">
        <v>33329</v>
      </c>
      <c r="B95" s="6">
        <v>119900</v>
      </c>
    </row>
    <row r="96" spans="1:2" ht="12.75" x14ac:dyDescent="0.2">
      <c r="A96" s="11">
        <v>33420</v>
      </c>
      <c r="B96" s="6">
        <v>120000</v>
      </c>
    </row>
    <row r="97" spans="1:2" ht="12.75" x14ac:dyDescent="0.2">
      <c r="A97" s="11">
        <v>33512</v>
      </c>
      <c r="B97" s="6">
        <v>120000</v>
      </c>
    </row>
    <row r="98" spans="1:2" ht="12.75" x14ac:dyDescent="0.2">
      <c r="A98" s="11">
        <v>33604</v>
      </c>
      <c r="B98" s="6">
        <v>119500</v>
      </c>
    </row>
    <row r="99" spans="1:2" ht="12.75" x14ac:dyDescent="0.2">
      <c r="A99" s="11">
        <v>33695</v>
      </c>
      <c r="B99" s="6">
        <v>120000</v>
      </c>
    </row>
    <row r="100" spans="1:2" ht="12.75" x14ac:dyDescent="0.2">
      <c r="A100" s="11">
        <v>33786</v>
      </c>
      <c r="B100" s="6">
        <v>120000</v>
      </c>
    </row>
    <row r="101" spans="1:2" ht="12.75" x14ac:dyDescent="0.2">
      <c r="A101" s="11">
        <v>33878</v>
      </c>
      <c r="B101" s="6">
        <v>126000</v>
      </c>
    </row>
    <row r="102" spans="1:2" ht="12.75" x14ac:dyDescent="0.2">
      <c r="A102" s="11">
        <v>33970</v>
      </c>
      <c r="B102" s="6">
        <v>125000</v>
      </c>
    </row>
    <row r="103" spans="1:2" ht="12.75" x14ac:dyDescent="0.2">
      <c r="A103" s="11">
        <v>34060</v>
      </c>
      <c r="B103" s="6">
        <v>127000</v>
      </c>
    </row>
    <row r="104" spans="1:2" ht="12.75" x14ac:dyDescent="0.2">
      <c r="A104" s="11">
        <v>34151</v>
      </c>
      <c r="B104" s="6">
        <v>127000</v>
      </c>
    </row>
    <row r="105" spans="1:2" ht="12.75" x14ac:dyDescent="0.2">
      <c r="A105" s="11">
        <v>34243</v>
      </c>
      <c r="B105" s="6">
        <v>127000</v>
      </c>
    </row>
    <row r="106" spans="1:2" ht="12.75" x14ac:dyDescent="0.2">
      <c r="A106" s="11">
        <v>34335</v>
      </c>
      <c r="B106" s="6">
        <v>130000</v>
      </c>
    </row>
    <row r="107" spans="1:2" ht="12.75" x14ac:dyDescent="0.2">
      <c r="A107" s="11">
        <v>34425</v>
      </c>
      <c r="B107" s="6">
        <v>130000</v>
      </c>
    </row>
    <row r="108" spans="1:2" ht="12.75" x14ac:dyDescent="0.2">
      <c r="A108" s="11">
        <v>34516</v>
      </c>
      <c r="B108" s="6">
        <v>129700</v>
      </c>
    </row>
    <row r="109" spans="1:2" ht="12.75" x14ac:dyDescent="0.2">
      <c r="A109" s="11">
        <v>34608</v>
      </c>
      <c r="B109" s="6">
        <v>132000</v>
      </c>
    </row>
    <row r="110" spans="1:2" ht="12.75" x14ac:dyDescent="0.2">
      <c r="A110" s="11">
        <v>34700</v>
      </c>
      <c r="B110" s="6">
        <v>130000</v>
      </c>
    </row>
    <row r="111" spans="1:2" ht="12.75" x14ac:dyDescent="0.2">
      <c r="A111" s="11">
        <v>34790</v>
      </c>
      <c r="B111" s="6">
        <v>133900</v>
      </c>
    </row>
    <row r="112" spans="1:2" ht="12.75" x14ac:dyDescent="0.2">
      <c r="A112" s="11">
        <v>34881</v>
      </c>
      <c r="B112" s="6">
        <v>132000</v>
      </c>
    </row>
    <row r="113" spans="1:2" ht="12.75" x14ac:dyDescent="0.2">
      <c r="A113" s="11">
        <v>34973</v>
      </c>
      <c r="B113" s="6">
        <v>138000</v>
      </c>
    </row>
    <row r="114" spans="1:2" ht="12.75" x14ac:dyDescent="0.2">
      <c r="A114" s="11">
        <v>35065</v>
      </c>
      <c r="B114" s="6">
        <v>137000</v>
      </c>
    </row>
    <row r="115" spans="1:2" ht="12.75" x14ac:dyDescent="0.2">
      <c r="A115" s="11">
        <v>35156</v>
      </c>
      <c r="B115" s="6">
        <v>139900</v>
      </c>
    </row>
    <row r="116" spans="1:2" ht="12.75" x14ac:dyDescent="0.2">
      <c r="A116" s="11">
        <v>35247</v>
      </c>
      <c r="B116" s="6">
        <v>140000</v>
      </c>
    </row>
    <row r="117" spans="1:2" ht="12.75" x14ac:dyDescent="0.2">
      <c r="A117" s="11">
        <v>35339</v>
      </c>
      <c r="B117" s="6">
        <v>144100</v>
      </c>
    </row>
    <row r="118" spans="1:2" ht="12.75" x14ac:dyDescent="0.2">
      <c r="A118" s="11">
        <v>35431</v>
      </c>
      <c r="B118" s="6">
        <v>145000</v>
      </c>
    </row>
    <row r="119" spans="1:2" ht="12.75" x14ac:dyDescent="0.2">
      <c r="A119" s="11">
        <v>35521</v>
      </c>
      <c r="B119" s="6">
        <v>145800</v>
      </c>
    </row>
    <row r="120" spans="1:2" ht="12.75" x14ac:dyDescent="0.2">
      <c r="A120" s="11">
        <v>35612</v>
      </c>
      <c r="B120" s="6">
        <v>145000</v>
      </c>
    </row>
    <row r="121" spans="1:2" ht="12.75" x14ac:dyDescent="0.2">
      <c r="A121" s="11">
        <v>35704</v>
      </c>
      <c r="B121" s="6">
        <v>144200</v>
      </c>
    </row>
    <row r="122" spans="1:2" ht="12.75" x14ac:dyDescent="0.2">
      <c r="A122" s="11">
        <v>35796</v>
      </c>
      <c r="B122" s="6">
        <v>152200</v>
      </c>
    </row>
    <row r="123" spans="1:2" ht="12.75" x14ac:dyDescent="0.2">
      <c r="A123" s="11">
        <v>35886</v>
      </c>
      <c r="B123" s="6">
        <v>149500</v>
      </c>
    </row>
    <row r="124" spans="1:2" ht="12.75" x14ac:dyDescent="0.2">
      <c r="A124" s="11">
        <v>35977</v>
      </c>
      <c r="B124" s="6">
        <v>153000</v>
      </c>
    </row>
    <row r="125" spans="1:2" ht="12.75" x14ac:dyDescent="0.2">
      <c r="A125" s="11">
        <v>36069</v>
      </c>
      <c r="B125" s="6">
        <v>153000</v>
      </c>
    </row>
    <row r="126" spans="1:2" ht="12.75" x14ac:dyDescent="0.2">
      <c r="A126" s="11">
        <v>36161</v>
      </c>
      <c r="B126" s="6">
        <v>157400</v>
      </c>
    </row>
    <row r="127" spans="1:2" ht="12.75" x14ac:dyDescent="0.2">
      <c r="A127" s="11">
        <v>36251</v>
      </c>
      <c r="B127" s="6">
        <v>158700</v>
      </c>
    </row>
    <row r="128" spans="1:2" ht="12.75" x14ac:dyDescent="0.2">
      <c r="A128" s="11">
        <v>36342</v>
      </c>
      <c r="B128" s="6">
        <v>159100</v>
      </c>
    </row>
    <row r="129" spans="1:2" ht="12.75" x14ac:dyDescent="0.2">
      <c r="A129" s="11">
        <v>36434</v>
      </c>
      <c r="B129" s="6">
        <v>165300</v>
      </c>
    </row>
    <row r="130" spans="1:2" ht="12.75" x14ac:dyDescent="0.2">
      <c r="A130" s="11">
        <v>36526</v>
      </c>
      <c r="B130" s="6">
        <v>165300</v>
      </c>
    </row>
    <row r="131" spans="1:2" ht="12.75" x14ac:dyDescent="0.2">
      <c r="A131" s="11">
        <v>36617</v>
      </c>
      <c r="B131" s="6">
        <v>163200</v>
      </c>
    </row>
    <row r="132" spans="1:2" ht="12.75" x14ac:dyDescent="0.2">
      <c r="A132" s="11">
        <v>36708</v>
      </c>
      <c r="B132" s="6">
        <v>168800</v>
      </c>
    </row>
    <row r="133" spans="1:2" ht="12.75" x14ac:dyDescent="0.2">
      <c r="A133" s="11">
        <v>36800</v>
      </c>
      <c r="B133" s="6">
        <v>172900</v>
      </c>
    </row>
    <row r="134" spans="1:2" ht="12.75" x14ac:dyDescent="0.2">
      <c r="A134" s="11">
        <v>36892</v>
      </c>
      <c r="B134" s="6">
        <v>169800</v>
      </c>
    </row>
    <row r="135" spans="1:2" ht="12.75" x14ac:dyDescent="0.2">
      <c r="A135" s="11">
        <v>36982</v>
      </c>
      <c r="B135" s="6">
        <v>179000</v>
      </c>
    </row>
    <row r="136" spans="1:2" ht="12.75" x14ac:dyDescent="0.2">
      <c r="A136" s="11">
        <v>37073</v>
      </c>
      <c r="B136" s="6">
        <v>172500</v>
      </c>
    </row>
    <row r="137" spans="1:2" ht="12.75" x14ac:dyDescent="0.2">
      <c r="A137" s="11">
        <v>37165</v>
      </c>
      <c r="B137" s="6">
        <v>171100</v>
      </c>
    </row>
    <row r="138" spans="1:2" ht="12.75" x14ac:dyDescent="0.2">
      <c r="A138" s="11">
        <v>37257</v>
      </c>
      <c r="B138" s="6">
        <v>188700</v>
      </c>
    </row>
    <row r="139" spans="1:2" ht="12.75" x14ac:dyDescent="0.2">
      <c r="A139" s="11">
        <v>37347</v>
      </c>
      <c r="B139" s="6">
        <v>187200</v>
      </c>
    </row>
    <row r="140" spans="1:2" ht="12.75" x14ac:dyDescent="0.2">
      <c r="A140" s="11">
        <v>37438</v>
      </c>
      <c r="B140" s="6">
        <v>178100</v>
      </c>
    </row>
    <row r="141" spans="1:2" ht="12.75" x14ac:dyDescent="0.2">
      <c r="A141" s="11">
        <v>37530</v>
      </c>
      <c r="B141" s="6">
        <v>190100</v>
      </c>
    </row>
    <row r="142" spans="1:2" ht="12.75" x14ac:dyDescent="0.2">
      <c r="A142" s="11">
        <v>37622</v>
      </c>
      <c r="B142" s="6">
        <v>186000</v>
      </c>
    </row>
    <row r="143" spans="1:2" ht="12.75" x14ac:dyDescent="0.2">
      <c r="A143" s="11">
        <v>37712</v>
      </c>
      <c r="B143" s="6">
        <v>191800</v>
      </c>
    </row>
    <row r="144" spans="1:2" ht="12.75" x14ac:dyDescent="0.2">
      <c r="A144" s="11">
        <v>37803</v>
      </c>
      <c r="B144" s="6">
        <v>191900</v>
      </c>
    </row>
    <row r="145" spans="1:2" ht="12.75" x14ac:dyDescent="0.2">
      <c r="A145" s="11">
        <v>37895</v>
      </c>
      <c r="B145" s="6">
        <v>198800</v>
      </c>
    </row>
    <row r="146" spans="1:2" ht="12.75" x14ac:dyDescent="0.2">
      <c r="A146" s="11">
        <v>37987</v>
      </c>
      <c r="B146" s="6">
        <v>212700</v>
      </c>
    </row>
    <row r="147" spans="1:2" ht="12.75" x14ac:dyDescent="0.2">
      <c r="A147" s="11">
        <v>38078</v>
      </c>
      <c r="B147" s="6">
        <v>217600</v>
      </c>
    </row>
    <row r="148" spans="1:2" ht="12.75" x14ac:dyDescent="0.2">
      <c r="A148" s="11">
        <v>38169</v>
      </c>
      <c r="B148" s="6">
        <v>213500</v>
      </c>
    </row>
    <row r="149" spans="1:2" ht="12.75" x14ac:dyDescent="0.2">
      <c r="A149" s="11">
        <v>38261</v>
      </c>
      <c r="B149" s="6">
        <v>228800</v>
      </c>
    </row>
    <row r="150" spans="1:2" ht="12.75" x14ac:dyDescent="0.2">
      <c r="A150" s="11">
        <v>38353</v>
      </c>
      <c r="B150" s="6">
        <v>232500</v>
      </c>
    </row>
    <row r="151" spans="1:2" ht="12.75" x14ac:dyDescent="0.2">
      <c r="A151" s="11">
        <v>38443</v>
      </c>
      <c r="B151" s="6">
        <v>233700</v>
      </c>
    </row>
    <row r="152" spans="1:2" ht="12.75" x14ac:dyDescent="0.2">
      <c r="A152" s="11">
        <v>38534</v>
      </c>
      <c r="B152" s="6">
        <v>236400</v>
      </c>
    </row>
    <row r="153" spans="1:2" ht="12.75" x14ac:dyDescent="0.2">
      <c r="A153" s="11">
        <v>38626</v>
      </c>
      <c r="B153" s="6">
        <v>243600</v>
      </c>
    </row>
    <row r="154" spans="1:2" ht="12.75" x14ac:dyDescent="0.2">
      <c r="A154" s="11">
        <v>38718</v>
      </c>
      <c r="B154" s="6">
        <v>247700</v>
      </c>
    </row>
    <row r="155" spans="1:2" ht="12.75" x14ac:dyDescent="0.2">
      <c r="A155" s="11">
        <v>38808</v>
      </c>
      <c r="B155" s="6">
        <v>246300</v>
      </c>
    </row>
    <row r="156" spans="1:2" ht="12.75" x14ac:dyDescent="0.2">
      <c r="A156" s="11">
        <v>38899</v>
      </c>
      <c r="B156" s="6">
        <v>235600</v>
      </c>
    </row>
    <row r="157" spans="1:2" ht="12.75" x14ac:dyDescent="0.2">
      <c r="A157" s="11">
        <v>38991</v>
      </c>
      <c r="B157" s="6">
        <v>245400</v>
      </c>
    </row>
    <row r="158" spans="1:2" ht="12.75" x14ac:dyDescent="0.2">
      <c r="A158" s="11">
        <v>39083</v>
      </c>
      <c r="B158" s="6">
        <v>257400</v>
      </c>
    </row>
    <row r="159" spans="1:2" ht="12.75" x14ac:dyDescent="0.2">
      <c r="A159" s="11">
        <v>39173</v>
      </c>
      <c r="B159" s="6">
        <v>242200</v>
      </c>
    </row>
    <row r="160" spans="1:2" ht="12.75" x14ac:dyDescent="0.2">
      <c r="A160" s="11">
        <v>39264</v>
      </c>
      <c r="B160" s="6">
        <v>241800</v>
      </c>
    </row>
    <row r="161" spans="1:2" ht="12.75" x14ac:dyDescent="0.2">
      <c r="A161" s="11">
        <v>39356</v>
      </c>
      <c r="B161" s="6">
        <v>238400</v>
      </c>
    </row>
    <row r="162" spans="1:2" ht="12.75" x14ac:dyDescent="0.2">
      <c r="A162" s="11">
        <v>39448</v>
      </c>
      <c r="B162" s="6">
        <v>233900</v>
      </c>
    </row>
    <row r="163" spans="1:2" ht="12.75" x14ac:dyDescent="0.2">
      <c r="A163" s="11">
        <v>39539</v>
      </c>
      <c r="B163" s="6">
        <v>235300</v>
      </c>
    </row>
    <row r="164" spans="1:2" ht="12.75" x14ac:dyDescent="0.2">
      <c r="A164" s="11">
        <v>39630</v>
      </c>
      <c r="B164" s="6">
        <v>226500</v>
      </c>
    </row>
    <row r="165" spans="1:2" ht="12.75" x14ac:dyDescent="0.2">
      <c r="A165" s="11">
        <v>39722</v>
      </c>
      <c r="B165" s="6">
        <v>222500</v>
      </c>
    </row>
    <row r="166" spans="1:2" ht="12.75" x14ac:dyDescent="0.2">
      <c r="A166" s="11">
        <v>39814</v>
      </c>
      <c r="B166" s="6">
        <v>208400</v>
      </c>
    </row>
    <row r="167" spans="1:2" ht="12.75" x14ac:dyDescent="0.2">
      <c r="A167" s="11">
        <v>39904</v>
      </c>
      <c r="B167" s="6">
        <v>220900</v>
      </c>
    </row>
    <row r="168" spans="1:2" ht="12.75" x14ac:dyDescent="0.2">
      <c r="A168" s="11">
        <v>39995</v>
      </c>
      <c r="B168" s="6">
        <v>214300</v>
      </c>
    </row>
    <row r="169" spans="1:2" ht="12.75" x14ac:dyDescent="0.2">
      <c r="A169" s="11">
        <v>40087</v>
      </c>
      <c r="B169" s="6">
        <v>219000</v>
      </c>
    </row>
    <row r="170" spans="1:2" ht="12.75" x14ac:dyDescent="0.2">
      <c r="A170" s="11">
        <v>40179</v>
      </c>
      <c r="B170" s="6">
        <v>222900</v>
      </c>
    </row>
    <row r="171" spans="1:2" ht="12.75" x14ac:dyDescent="0.2">
      <c r="A171" s="11">
        <v>40269</v>
      </c>
      <c r="B171" s="6">
        <v>219500</v>
      </c>
    </row>
    <row r="172" spans="1:2" ht="12.75" x14ac:dyDescent="0.2">
      <c r="A172" s="11">
        <v>40360</v>
      </c>
      <c r="B172" s="6">
        <v>224100</v>
      </c>
    </row>
    <row r="173" spans="1:2" ht="12.75" x14ac:dyDescent="0.2">
      <c r="A173" s="11">
        <v>40452</v>
      </c>
      <c r="B173" s="6">
        <v>224300</v>
      </c>
    </row>
    <row r="174" spans="1:2" ht="12.75" x14ac:dyDescent="0.2">
      <c r="A174" s="11">
        <v>40544</v>
      </c>
      <c r="B174" s="6">
        <v>226900</v>
      </c>
    </row>
    <row r="175" spans="1:2" ht="12.75" x14ac:dyDescent="0.2">
      <c r="A175" s="11">
        <v>40634</v>
      </c>
      <c r="B175" s="6">
        <v>228100</v>
      </c>
    </row>
    <row r="176" spans="1:2" ht="12.75" x14ac:dyDescent="0.2">
      <c r="A176" s="11">
        <v>40725</v>
      </c>
      <c r="B176" s="6">
        <v>223500</v>
      </c>
    </row>
    <row r="177" spans="1:2" ht="12.75" x14ac:dyDescent="0.2">
      <c r="A177" s="11">
        <v>40817</v>
      </c>
      <c r="B177" s="6">
        <v>221100</v>
      </c>
    </row>
    <row r="178" spans="1:2" ht="12.75" x14ac:dyDescent="0.2">
      <c r="A178" s="11">
        <v>40909</v>
      </c>
      <c r="B178" s="6">
        <v>238400</v>
      </c>
    </row>
    <row r="179" spans="1:2" ht="12.75" x14ac:dyDescent="0.2">
      <c r="A179" s="11">
        <v>41000</v>
      </c>
      <c r="B179" s="6">
        <v>238700</v>
      </c>
    </row>
    <row r="180" spans="1:2" ht="12.75" x14ac:dyDescent="0.2">
      <c r="A180" s="11">
        <v>41091</v>
      </c>
      <c r="B180" s="6">
        <v>248800</v>
      </c>
    </row>
    <row r="181" spans="1:2" ht="12.75" x14ac:dyDescent="0.2">
      <c r="A181" s="11">
        <v>41183</v>
      </c>
      <c r="B181" s="6">
        <v>251700</v>
      </c>
    </row>
    <row r="182" spans="1:2" ht="12.75" x14ac:dyDescent="0.2">
      <c r="A182" s="11">
        <v>41275</v>
      </c>
      <c r="B182" s="6">
        <v>258400</v>
      </c>
    </row>
    <row r="183" spans="1:2" ht="12.75" x14ac:dyDescent="0.2">
      <c r="A183" s="11">
        <v>41365</v>
      </c>
      <c r="B183" s="6">
        <v>268100</v>
      </c>
    </row>
    <row r="184" spans="1:2" ht="12.75" x14ac:dyDescent="0.2">
      <c r="A184" s="11">
        <v>41456</v>
      </c>
      <c r="B184" s="6">
        <v>264800</v>
      </c>
    </row>
    <row r="185" spans="1:2" ht="12.75" x14ac:dyDescent="0.2">
      <c r="A185" s="11">
        <v>41548</v>
      </c>
      <c r="B185" s="6">
        <v>273600</v>
      </c>
    </row>
    <row r="186" spans="1:2" ht="12.75" x14ac:dyDescent="0.2">
      <c r="A186" s="11">
        <v>41640</v>
      </c>
      <c r="B186" s="6">
        <v>275200</v>
      </c>
    </row>
    <row r="187" spans="1:2" ht="12.75" x14ac:dyDescent="0.2">
      <c r="A187" s="11">
        <v>41730</v>
      </c>
      <c r="B187" s="6">
        <v>288000</v>
      </c>
    </row>
    <row r="188" spans="1:2" ht="12.75" x14ac:dyDescent="0.2">
      <c r="A188" s="11">
        <v>41821</v>
      </c>
      <c r="B188" s="6">
        <v>281000</v>
      </c>
    </row>
    <row r="189" spans="1:2" ht="12.75" x14ac:dyDescent="0.2">
      <c r="A189" s="11">
        <v>41913</v>
      </c>
      <c r="B189" s="6">
        <v>298900</v>
      </c>
    </row>
    <row r="190" spans="1:2" ht="12.75" x14ac:dyDescent="0.2">
      <c r="A190" s="11">
        <v>42005</v>
      </c>
      <c r="B190" s="6">
        <v>289200</v>
      </c>
    </row>
    <row r="191" spans="1:2" ht="12.75" x14ac:dyDescent="0.2">
      <c r="A191" s="11">
        <v>42095</v>
      </c>
      <c r="B191" s="6">
        <v>289100</v>
      </c>
    </row>
    <row r="192" spans="1:2" ht="12.75" x14ac:dyDescent="0.2">
      <c r="A192" s="11">
        <v>42186</v>
      </c>
      <c r="B192" s="6">
        <v>295800</v>
      </c>
    </row>
    <row r="193" spans="1:2" ht="12.75" x14ac:dyDescent="0.2">
      <c r="A193" s="11">
        <v>42278</v>
      </c>
      <c r="B193" s="6">
        <v>302500</v>
      </c>
    </row>
    <row r="194" spans="1:2" ht="12.75" x14ac:dyDescent="0.2">
      <c r="A194" s="11">
        <v>42370</v>
      </c>
      <c r="B194" s="6">
        <v>299800</v>
      </c>
    </row>
    <row r="195" spans="1:2" ht="12.75" x14ac:dyDescent="0.2">
      <c r="A195" s="11">
        <v>42461</v>
      </c>
      <c r="B195" s="6">
        <v>306000</v>
      </c>
    </row>
    <row r="196" spans="1:2" ht="12.75" x14ac:dyDescent="0.2">
      <c r="A196" s="11">
        <v>42552</v>
      </c>
      <c r="B196" s="6">
        <v>303800</v>
      </c>
    </row>
    <row r="197" spans="1:2" ht="12.75" x14ac:dyDescent="0.2">
      <c r="A197" s="11">
        <v>42644</v>
      </c>
      <c r="B197" s="6">
        <v>310900</v>
      </c>
    </row>
    <row r="198" spans="1:2" ht="12.75" x14ac:dyDescent="0.2">
      <c r="A198" s="11">
        <v>42736</v>
      </c>
      <c r="B198" s="6">
        <v>313100</v>
      </c>
    </row>
    <row r="199" spans="1:2" ht="12.75" x14ac:dyDescent="0.2">
      <c r="A199" s="11">
        <v>42826</v>
      </c>
      <c r="B199" s="6">
        <v>318200</v>
      </c>
    </row>
    <row r="200" spans="1:2" ht="12.75" x14ac:dyDescent="0.2">
      <c r="A200" s="11">
        <v>42917</v>
      </c>
      <c r="B200" s="6">
        <v>320500</v>
      </c>
    </row>
    <row r="201" spans="1:2" ht="12.75" x14ac:dyDescent="0.2">
      <c r="A201" s="11">
        <v>43009</v>
      </c>
      <c r="B201" s="6">
        <v>337900</v>
      </c>
    </row>
    <row r="202" spans="1:2" ht="12.75" x14ac:dyDescent="0.2">
      <c r="A202" s="11">
        <v>43101</v>
      </c>
      <c r="B202" s="6">
        <v>331800</v>
      </c>
    </row>
    <row r="203" spans="1:2" ht="12.75" x14ac:dyDescent="0.2">
      <c r="A203" s="11">
        <v>43191</v>
      </c>
      <c r="B203" s="6">
        <v>315600</v>
      </c>
    </row>
    <row r="204" spans="1:2" ht="12.75" x14ac:dyDescent="0.2">
      <c r="A204" s="11">
        <v>43282</v>
      </c>
      <c r="B204" s="6">
        <v>330900</v>
      </c>
    </row>
    <row r="205" spans="1:2" ht="12.75" x14ac:dyDescent="0.2">
      <c r="A205" s="11">
        <v>43374</v>
      </c>
      <c r="B205" s="6">
        <v>322800</v>
      </c>
    </row>
    <row r="206" spans="1:2" ht="12.75" x14ac:dyDescent="0.2">
      <c r="A206" s="11">
        <v>43466</v>
      </c>
      <c r="B206" s="6">
        <v>313000</v>
      </c>
    </row>
    <row r="207" spans="1:2" ht="12.75" x14ac:dyDescent="0.2">
      <c r="A207" s="11">
        <v>43556</v>
      </c>
      <c r="B207" s="6">
        <v>322500</v>
      </c>
    </row>
    <row r="208" spans="1:2" ht="12.75" x14ac:dyDescent="0.2">
      <c r="A208" s="11">
        <v>43647</v>
      </c>
      <c r="B208" s="6">
        <v>318400</v>
      </c>
    </row>
    <row r="209" spans="1:2" ht="12.75" x14ac:dyDescent="0.2">
      <c r="A209" s="11">
        <v>43739</v>
      </c>
      <c r="B209" s="6">
        <v>327100</v>
      </c>
    </row>
    <row r="210" spans="1:2" ht="12.75" x14ac:dyDescent="0.2">
      <c r="A210" s="11">
        <v>43831</v>
      </c>
      <c r="B210" s="6">
        <v>329000</v>
      </c>
    </row>
    <row r="211" spans="1:2" ht="12.75" x14ac:dyDescent="0.2">
      <c r="A211" s="11">
        <v>43922</v>
      </c>
      <c r="B211" s="6">
        <v>322600</v>
      </c>
    </row>
    <row r="212" spans="1:2" ht="12.75" x14ac:dyDescent="0.2">
      <c r="A212" s="11">
        <v>44013</v>
      </c>
      <c r="B212" s="6">
        <v>337500</v>
      </c>
    </row>
    <row r="213" spans="1:2" ht="12.75" x14ac:dyDescent="0.2">
      <c r="A213" s="11">
        <v>44105</v>
      </c>
      <c r="B213" s="6">
        <v>358700</v>
      </c>
    </row>
    <row r="214" spans="1:2" ht="12.75" x14ac:dyDescent="0.2">
      <c r="A214" s="11">
        <v>44197</v>
      </c>
      <c r="B214" s="6">
        <v>369800</v>
      </c>
    </row>
    <row r="215" spans="1:2" ht="12.75" x14ac:dyDescent="0.2">
      <c r="A215" s="11">
        <v>44287</v>
      </c>
      <c r="B215" s="6">
        <v>382600</v>
      </c>
    </row>
    <row r="216" spans="1:2" ht="12.75" x14ac:dyDescent="0.2">
      <c r="A216" s="11">
        <v>44378</v>
      </c>
      <c r="B216" s="6">
        <v>411200</v>
      </c>
    </row>
    <row r="217" spans="1:2" ht="12.75" x14ac:dyDescent="0.2">
      <c r="A217" s="11">
        <v>44470</v>
      </c>
      <c r="B217" s="6">
        <v>423600</v>
      </c>
    </row>
    <row r="218" spans="1:2" ht="12.75" x14ac:dyDescent="0.2">
      <c r="A218" s="11">
        <v>44562</v>
      </c>
      <c r="B218" s="6">
        <v>433100</v>
      </c>
    </row>
    <row r="219" spans="1:2" ht="12.75" x14ac:dyDescent="0.2">
      <c r="A219" s="11">
        <v>44652</v>
      </c>
      <c r="B219" s="6">
        <v>449300</v>
      </c>
    </row>
    <row r="220" spans="1:2" ht="12.75" x14ac:dyDescent="0.2">
      <c r="A220" s="11">
        <v>44743</v>
      </c>
      <c r="B220" s="6">
        <v>468000</v>
      </c>
    </row>
    <row r="221" spans="1:2" ht="12.75" x14ac:dyDescent="0.2">
      <c r="A221" s="11">
        <v>44835</v>
      </c>
      <c r="B221" s="6">
        <v>479500</v>
      </c>
    </row>
    <row r="222" spans="1:2" ht="12.75" x14ac:dyDescent="0.2">
      <c r="A222" s="11">
        <v>44927</v>
      </c>
      <c r="B222" s="6">
        <v>429000</v>
      </c>
    </row>
    <row r="223" spans="1:2" ht="12.75" x14ac:dyDescent="0.2">
      <c r="A223" s="11">
        <v>45017</v>
      </c>
      <c r="B223" s="6">
        <v>418500</v>
      </c>
    </row>
    <row r="224" spans="1:2" ht="12.75" x14ac:dyDescent="0.2">
      <c r="A224" s="11">
        <v>45108</v>
      </c>
      <c r="B224" s="6">
        <v>435400</v>
      </c>
    </row>
    <row r="225" spans="1:2" ht="12.75" x14ac:dyDescent="0.2">
      <c r="A225" s="11">
        <v>45200</v>
      </c>
      <c r="B225" s="6">
        <v>417700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Housing Constructions 1</vt:lpstr>
      <vt:lpstr>Nominal Price to Real Price</vt:lpstr>
      <vt:lpstr>Macrohistory</vt:lpstr>
      <vt:lpstr>Median Price of new US Homes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Conor McCaffery</cp:lastModifiedBy>
  <dcterms:created xsi:type="dcterms:W3CDTF">2024-03-18T00:30:15Z</dcterms:created>
  <dcterms:modified xsi:type="dcterms:W3CDTF">2026-06-14T16:50:05Z</dcterms:modified>
</cp:coreProperties>
</file>